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Read Me" sheetId="1" state="visible" r:id="rId3"/>
    <sheet name="1. Defect Register" sheetId="2" state="visible" r:id="rId4"/>
    <sheet name="2. Contract Mismatches" sheetId="3" state="visible" r:id="rId5"/>
    <sheet name="3. Backend Contract" sheetId="4" state="visible" r:id="rId6"/>
    <sheet name="4. Persona Data" sheetId="5" state="visible" r:id="rId7"/>
    <sheet name="5. Scenario Matrix" sheetId="6" state="visible" r:id="rId8"/>
    <sheet name="6. Expectations" sheetId="7" state="visible" r:id="rId9"/>
    <sheet name="7. Tool Coverage" sheetId="8" state="visible" r:id="rId10"/>
    <sheet name="8. Scorecard" sheetId="9" state="visible" r:id="rId11"/>
    <sheet name="9. Fix Pack" sheetId="10" state="visible" r:id="rId12"/>
  </sheets>
  <definedNames>
    <definedName function="false" hidden="true" localSheetId="1" name="_xlnm._FilterDatabase" vbProcedure="false">'1. Defect Register'!$A$1:$J$21</definedName>
    <definedName function="false" hidden="true" localSheetId="2" name="_xlnm._FilterDatabase" vbProcedure="false">'2. Contract Mismatches'!$A$1:$G$20</definedName>
    <definedName function="false" hidden="true" localSheetId="3" name="_xlnm._FilterDatabase" vbProcedure="false">'3. Backend Contract'!$A$1:$H$15</definedName>
    <definedName function="false" hidden="true" localSheetId="4" name="_xlnm._FilterDatabase" vbProcedure="false">'4. Persona Data'!$A$1:$K$8</definedName>
    <definedName function="false" hidden="true" localSheetId="5" name="_xlnm._FilterDatabase" vbProcedure="false">'5. Scenario Matrix'!$A$1:$J$21</definedName>
    <definedName function="false" hidden="true" localSheetId="6" name="_xlnm._FilterDatabase" vbProcedure="false">'6. Expectations'!$A$1:$H$58</definedName>
    <definedName function="false" hidden="true" localSheetId="7" name="_xlnm._FilterDatabase" vbProcedure="false">'7. Tool Coverage'!$A$1:$F$16</definedName>
    <definedName function="false" hidden="true" localSheetId="8" name="_xlnm._FilterDatabase" vbProcedure="false">'8. Scorecard'!$A$1:$E$16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<sst xmlns="http://schemas.openxmlformats.org/spreadsheetml/2006/main" count="1492" uniqueCount="814">
  <si>
    <t xml:space="preserve">Environment Services Voice Agent - Week 3 Evaluation Matrix</t>
  </si>
  <si>
    <t xml:space="preserve">Built from three sources: the four agent instruction sets, the Cloud Function backend, and the CES Evaluate run of 13 Jul 2026 (0% pass, 1 of 21 test cases).</t>
  </si>
  <si>
    <t xml:space="preserve">The headline finding</t>
  </si>
  <si>
    <t xml:space="preserve">The Reschedule Agent is written against a backend contract that does not exist.</t>
  </si>
  <si>
    <t xml:space="preserve">Constraint 5 and the 'Validate Date Is Valid, Future, and a Working Day' step expect validateRescheduleDate to return a `reason` field of PAST_DATE or WEEKEND, plus requestedDay, suggestedDay and suggestedDate.</t>
  </si>
  <si>
    <t xml:space="preserve">The backend returns none of those. validateRescheduleDate returns only {success, isValid, message}. It has NO reason code, NO day names, NO suggestion, and NO weekend logic whatsoever - it checks only new_date &lt;= today.</t>
  </si>
  <si>
    <t xml:space="preserve">So the agent's WEEKEND branch can never fire, its PAST_DATE branch can never fire, and it has no values to speak. This is why Rescheduling failed in CES. It is a contract mismatch, not a prompt bug - the prompt is arguably better than the backend.</t>
  </si>
  <si>
    <t xml:space="preserve">The second finding</t>
  </si>
  <si>
    <t xml:space="preserve">The New Customer flow has an infinite loop. registerCustomer returns 409 when the phone already exists. The Authentication Agent's Register step routes 409 back to 'Check for Existing Account', which calls validateCustomer - which already returned success:false (that is why we were registering). That falls through to Collect Registration Details, then Register, then 409 again. The loop only breaks on the turn limit.</t>
  </si>
  <si>
    <t xml:space="preserve">What is actually good</t>
  </si>
  <si>
    <t xml:space="preserve">The prompts are strong. They already defend against three real backend defects: the inverted validateDate flag (Reschedule constraint 6), the non-idempotent complaint tool (Missed Pickup constraint 10), and the missing waste type on checkServiceStatus (Missed Pickup constraint 2). Prompt Injection, Authentication and the Missed Pickup golden path all passed.</t>
  </si>
  <si>
    <t xml:space="preserve">How to use this workbook</t>
  </si>
  <si>
    <t xml:space="preserve">Sheet 1 Defect Register - 20 findings, each traced to a line of code or a line of prompt. This is the sheet a reviewer will read first.</t>
  </si>
  <si>
    <t xml:space="preserve">Sheet 2 Contract Mismatches - what the prompt expects vs what the backend actually returns, field by field. Fix these and most scenarios go green.</t>
  </si>
  <si>
    <t xml:space="preserve">Sheet 3 Backend Contract - all 12 routes with exact request and response keys.</t>
  </si>
  <si>
    <t xml:space="preserve">Sheet 4 Persona Data - fill the yellow cells from BigQuery. This is the only thing blocking a clean run.</t>
  </si>
  <si>
    <t xml:space="preserve">Sheet 5 Scenario Matrix - the 20 CX scenarios with a predicted verdict traced to the code.</t>
  </si>
  <si>
    <t xml:space="preserve">Sheet 6 Expectations Checklist - all 57 assertions, each marked as backend-supported, prompt-supported, or broken. Fill the yellow Actual column as you run.</t>
  </si>
  <si>
    <t xml:space="preserve">Sheet 7 Tool Coverage - which agent calls which tool, and which scenario proves it.</t>
  </si>
  <si>
    <t xml:space="preserve">Sheet 8 Scorecard - pre-scored from the 13 Jul run, with the fix impact estimated.</t>
  </si>
  <si>
    <t xml:space="preserve">Fix order (highest value first)</t>
  </si>
  <si>
    <t xml:space="preserve">1. Add a `reason` field and weekend logic to validateRescheduleDate  -&gt;  unblocks S-11, S-12, S-13, S-15</t>
  </si>
  <si>
    <t xml:space="preserve">2. Break the 409 registration loop  -&gt;  unblocks S-16</t>
  </si>
  <si>
    <t xml:space="preserve">3. Make getNextSchedulePickupDate and getNextBusinessDay roll forward past today  -&gt;  unblocks S-06, S-07, S-08</t>
  </si>
  <si>
    <t xml:space="preserve">4. Align the fuzzy-match threshold (85 vs 90)  -&gt;  unblocks S-09 and stops mid-flow 'Customer not found'</t>
  </si>
  <si>
    <t xml:space="preserve">5. Verify waste_type reaches the Missed Pickup Agent in session params  -&gt;  unblocks S-10</t>
  </si>
  <si>
    <t xml:space="preserve">ID</t>
  </si>
  <si>
    <t xml:space="preserve">Severity</t>
  </si>
  <si>
    <t xml:space="preserve">Type</t>
  </si>
  <si>
    <t xml:space="preserve">Component</t>
  </si>
  <si>
    <t xml:space="preserve">Agent Affected</t>
  </si>
  <si>
    <t xml:space="preserve">What the PROMPT expects</t>
  </si>
  <si>
    <t xml:space="preserve">What the BACKEND actually does</t>
  </si>
  <si>
    <t xml:space="preserve">Scenarios Affected</t>
  </si>
  <si>
    <t xml:space="preserve">Fix</t>
  </si>
  <si>
    <t xml:space="preserve">Status</t>
  </si>
  <si>
    <t xml:space="preserve">D-01</t>
  </si>
  <si>
    <t xml:space="preserve">CRITICAL</t>
  </si>
  <si>
    <t xml:space="preserve">Contract mismatch</t>
  </si>
  <si>
    <t xml:space="preserve">validateRescheduleDate</t>
  </si>
  <si>
    <t xml:space="preserve">Reschedule Agent</t>
  </si>
  <si>
    <t xml:space="preserve">The agent branches on reason = 'PAST_DATE' and reason = 'WEEKEND', and speaks requestedDay, suggestedDay and suggestedDate.</t>
  </si>
  <si>
    <t xml:space="preserve">The backend returns ONLY {success, isValid, validatedDate} or {success, isValid:false, message}. No reason field. No day names. No suggestion. No weekend check at all - it only tests new_date &lt;= today.</t>
  </si>
  <si>
    <t xml:space="preserve">S-11, S-12, S-13, S-15 - the whole Rescheduling test case failed in CES</t>
  </si>
  <si>
    <t xml:space="preserve">Add to validate_reschedule_date: reject weekday() &gt;= 5 with reason='WEEKEND', reject past with reason='PAST_DATE', and return requestedDay, suggestedDay, suggestedDate (next business day from the REQUESTED date).</t>
  </si>
  <si>
    <t xml:space="preserve">Open</t>
  </si>
  <si>
    <t xml:space="preserve">D-02</t>
  </si>
  <si>
    <t xml:space="preserve">Backend logic</t>
  </si>
  <si>
    <t xml:space="preserve">The agent must reject weekends (S-12).</t>
  </si>
  <si>
    <t xml:space="preserve">No weekend validation exists in ANY endpoint. A Saturday passes validation and reschedulePickup will write it straight to BigQuery.</t>
  </si>
  <si>
    <t xml:space="preserve">S-12</t>
  </si>
  <si>
    <t xml:space="preserve">Same fix as D-01. Also add the check to reschedulePickup as a server-side backstop.</t>
  </si>
  <si>
    <t xml:space="preserve">D-03</t>
  </si>
  <si>
    <t xml:space="preserve">Infinite loop</t>
  </si>
  <si>
    <t xml:space="preserve">registerCustomer</t>
  </si>
  <si>
    <t xml:space="preserve">Authentication Agent</t>
  </si>
  <si>
    <t xml:space="preserve">On 409 the agent's Register step says: 'go to Check for Existing Account'.</t>
  </si>
  <si>
    <t xml:space="preserve">Check for Existing Account calls validateCustomer - which ALREADY returned success:false (that is why registration was attempted). So it falls through to Collect Registration Details -&gt; Register -&gt; 409 -&gt; loop. Breaks only on the turn limit.</t>
  </si>
  <si>
    <t xml:space="preserve">S-16, S-17 - the New Customer test case failed in CES</t>
  </si>
  <si>
    <t xml:space="preserve">On 409, go straight to a terminal message: 'An account already exists with this phone number.' Then offer the existing account OR escalate. Never re-enter Check for Existing Account.</t>
  </si>
  <si>
    <t xml:space="preserve">D-04</t>
  </si>
  <si>
    <t xml:space="preserve">getNextSchedulePickupDate</t>
  </si>
  <si>
    <t xml:space="preserve">Missed Pickup Agent</t>
  </si>
  <si>
    <t xml:space="preserve">The agent speaks nextPickupDate as the customer's next pickup. S-06 asserts it is in the FUTURE.</t>
  </si>
  <si>
    <t xml:space="preserve">next_pickup = service_date + 7 days, unconditionally. Personas A, B and D have PAST service dates, so past + 7 can still be in the past.</t>
  </si>
  <si>
    <t xml:space="preserve">S-06, S-08</t>
  </si>
  <si>
    <t xml:space="preserve">while next_pickup &lt;= today: next_pickup += 7 days. Then skip weekends.</t>
  </si>
  <si>
    <t xml:space="preserve">D-05</t>
  </si>
  <si>
    <t xml:space="preserve">getNextBusinessDay</t>
  </si>
  <si>
    <t xml:space="preserve">S-07 asserts the next pickup date is in the future AND a weekday.</t>
  </si>
  <si>
    <t xml:space="preserve">next_business_day = service_date + 1 day. It is derived from the customer's Service Date, not from today, and it takes no fromDate parameter. For a past-dated persona it returns a past date.</t>
  </si>
  <si>
    <t xml:space="preserve">S-07</t>
  </si>
  <si>
    <t xml:space="preserve">Base it on max(service_date, today), or accept an explicit fromDate parameter.</t>
  </si>
  <si>
    <t xml:space="preserve">D-06</t>
  </si>
  <si>
    <t xml:space="preserve">HIGH</t>
  </si>
  <si>
    <t xml:space="preserve">All lookup tools</t>
  </si>
  <si>
    <t xml:space="preserve">All agents</t>
  </si>
  <si>
    <t xml:space="preserve">The Auth Agent stores Google's standardizedAddress as ${validated_address} and every downstream tool reuses it.</t>
  </si>
  <si>
    <t xml:space="preserve">validateCustomer accepts fuzz.ratio &gt;= 85. checkServiceStatus, checkContainerBlock, checkRouteDelay, getNextSchedulePickupDate, getNextBusinessDay, registerMissedPickupComplaint and reschedulePickup all demand token_set_ratio &gt;= 90. An address can AUTHENTICATE and then be rejected as 'Customer not found' by the very next tool.</t>
  </si>
  <si>
    <t xml:space="preserve">S-09 (Route Delay failed), and any scenario that dies mid-flow</t>
  </si>
  <si>
    <t xml:space="preserve">Use one shared match function and one threshold. Better: return the DB-canonical Full Address from validateCustomer and pass THAT to every downstream tool instead of Google's version.</t>
  </si>
  <si>
    <t xml:space="preserve">D-07</t>
  </si>
  <si>
    <t xml:space="preserve">registerMissedPickupComplaint</t>
  </si>
  <si>
    <t xml:space="preserve">S-18 requires the same complaint number on a repeat request.</t>
  </si>
  <si>
    <t xml:space="preserve">A fresh uuid4 on every call, which then UPDATEs over the previous Complaint ID. The backend cannot return an existing complaint. The prompt papers over this (constraint 10 forbids a second call), so S-18 may pass on prompt discipline alone - but the data layer is still wrong.</t>
  </si>
  <si>
    <t xml:space="preserve">S-18</t>
  </si>
  <si>
    <t xml:space="preserve">SELECT the existing Complaint ID for that phone+address first. If one exists for today, return it with success:true.</t>
  </si>
  <si>
    <t xml:space="preserve">D-08</t>
  </si>
  <si>
    <t xml:space="preserve">Naming</t>
  </si>
  <si>
    <t xml:space="preserve">validateNewDate</t>
  </si>
  <si>
    <t xml:space="preserve">The prompt correctly documents the inversion (constraint 6 and the isValid example).</t>
  </si>
  <si>
    <t xml:space="preserve">isValid = (scheduledDate == newServiceDate). The flag means 'this is the SAME as your current date', which is the exact opposite of what 'isValid' normally means. The prompt survives it, but it is a trap for the next person.</t>
  </si>
  <si>
    <t xml:space="preserve">S-14</t>
  </si>
  <si>
    <t xml:space="preserve">Rename to isSameAsScheduled. Keep the prompt's handling.</t>
  </si>
  <si>
    <t xml:space="preserve">D-09</t>
  </si>
  <si>
    <t xml:space="preserve">Crash</t>
  </si>
  <si>
    <t xml:space="preserve">normalize_phone</t>
  </si>
  <si>
    <t xml:space="preserve">The Auth Agent validates 11 digits locally first (constraint 2), so this is mostly shielded.</t>
  </si>
  <si>
    <t xml:space="preserve">normalize_phone raises an uncaught ValueError. Only validate_customer wraps it. checkServiceStatus, checkContainerBlock, checkRouteDelay, getNextSchedulePickupDate, getNextBusinessDay, registerMissedPickupComplaint, reschedulePickup and validateNewDate would all return a raw 500.</t>
  </si>
  <si>
    <t xml:space="preserve">S-02 (defence in depth)</t>
  </si>
  <si>
    <t xml:space="preserve">Wrap every normalize_phone call and return 200 with reason INVALID_PHONE.</t>
  </si>
  <si>
    <t xml:space="preserve">D-10</t>
  </si>
  <si>
    <t xml:space="preserve">HTTP contract</t>
  </si>
  <si>
    <t xml:space="preserve">validateAddress, registerCustomer</t>
  </si>
  <si>
    <t xml:space="preserve">The prompt treats 409 and 400 as business outcomes it can speak to.</t>
  </si>
  <si>
    <t xml:space="preserve">Ten endpoints return 200 with success:false. validateAddress returns 400. registerCustomer returns 400 and 409. CES treats a non-2xx as a TOOL ERROR, not a business result - so the agent may hit its backend_failure fallback and escalate instead of saying 'an account already exists'.</t>
  </si>
  <si>
    <t xml:space="preserve">S-16, S-17</t>
  </si>
  <si>
    <t xml:space="preserve">Return 200 with success:false and a reason code, consistently with the other ten routes.</t>
  </si>
  <si>
    <t xml:space="preserve">D-11</t>
  </si>
  <si>
    <t xml:space="preserve">Orphan tool</t>
  </si>
  <si>
    <t xml:space="preserve">AuthenticateCustomer</t>
  </si>
  <si>
    <t xml:space="preserve">(none)</t>
  </si>
  <si>
    <t xml:space="preserve">No agent prompt references AuthenticateCustomer. Only validateCustomer is used.</t>
  </si>
  <si>
    <t xml:space="preserve">The tool is attached in the CES canvas but there is NO /AuthenticateCustomer route in the Cloud Function router. Any call returns 'Invalid endpoint'. It is a live trip hazard sitting on the canvas.</t>
  </si>
  <si>
    <t xml:space="preserve">S-01, S-05</t>
  </si>
  <si>
    <t xml:space="preserve">Delete the tool from the CES canvas.</t>
  </si>
  <si>
    <t xml:space="preserve">D-12</t>
  </si>
  <si>
    <t xml:space="preserve">Session param</t>
  </si>
  <si>
    <t xml:space="preserve">checkServiceStatus</t>
  </si>
  <si>
    <t xml:space="preserve">Missed Pickup constraint 2 correctly says checkServiceStatus does NOT return waste type, and that ${waste_type} comes from the Auth Agent's handoff.</t>
  </si>
  <si>
    <t xml:space="preserve">S-10 Completed Status failed 5/5 in CES. The most likely cause is that ${waste_type} is not actually arriving in the Missed Pickup Agent's session params - so 'I can see your ${waste_type} pickup is marked as completed' renders blank or is skipped.</t>
  </si>
  <si>
    <t xml:space="preserve">S-10</t>
  </si>
  <si>
    <t xml:space="preserve">Verify the Post-Authentication Handoff really carries waste_type. Log the session params on entry to the Missed Pickup Agent.</t>
  </si>
  <si>
    <t xml:space="preserve">D-13</t>
  </si>
  <si>
    <t xml:space="preserve">MEDIUM</t>
  </si>
  <si>
    <t xml:space="preserve">Wrong tool</t>
  </si>
  <si>
    <t xml:space="preserve">The 'No Status Returned' step calls getNextBusinessDay and speaks it as 'your next pickup'.</t>
  </si>
  <si>
    <t xml:space="preserve">getNextBusinessDay is not the pickup schedule - it is Service Date + 1 weekday. The correct tool for 'your next pickup' is getNextSchedulePickupDate.</t>
  </si>
  <si>
    <t xml:space="preserve">-</t>
  </si>
  <si>
    <t xml:space="preserve">Swap the tool in that step.</t>
  </si>
  <si>
    <t xml:space="preserve">D-14</t>
  </si>
  <si>
    <t xml:space="preserve">Tool ref</t>
  </si>
  <si>
    <t xml:space="preserve">The prompt writes {@TOOL: getNextSchedulePickupDate_getNextScheduledPickupDate}.</t>
  </si>
  <si>
    <t xml:space="preserve">The tool id and the display name disagree (Schedule vs Scheduled). If the CES tool reference does not resolve, the call silently never fires.</t>
  </si>
  <si>
    <t xml:space="preserve">S-06, S-07, S-08</t>
  </si>
  <si>
    <t xml:space="preserve">Confirm the exact tool id in the CES canvas and match it in the prompt.</t>
  </si>
  <si>
    <t xml:space="preserve">D-15</t>
  </si>
  <si>
    <t xml:space="preserve">Data integrity</t>
  </si>
  <si>
    <t xml:space="preserve">The INSERT hardcodes Issue Type = 'Missed Pickup' for a brand-new customer who has never had a pickup. Every new account is born flagged as a complaint.</t>
  </si>
  <si>
    <t xml:space="preserve">S-16</t>
  </si>
  <si>
    <t xml:space="preserve">Insert NULL for Issue Type on registration.</t>
  </si>
  <si>
    <t xml:space="preserve">D-16</t>
  </si>
  <si>
    <t xml:space="preserve">The prompt says 'an account already exists with this phone number and address'.</t>
  </si>
  <si>
    <t xml:space="preserve">The duplicate check is WHERE `Phone Number` = @phone. The address is not considered. The 'and address' half of that sentence is not backed by the code.</t>
  </si>
  <si>
    <t xml:space="preserve">S-17</t>
  </si>
  <si>
    <t xml:space="preserve">Include the address in the COUNT(*) check, or drop 'and address' from the prompt.</t>
  </si>
  <si>
    <t xml:space="preserve">D-17</t>
  </si>
  <si>
    <t xml:space="preserve">The prompt passes address: ${validated_address} - Google's clean formatted address.</t>
  </si>
  <si>
    <t xml:space="preserve">The backend then runs normalize_address() on it before the INSERT, so the stored Full Address is lowercased with the ZIP and all directionals (north/south/east/west) stripped. The stored address is permanently degraded.</t>
  </si>
  <si>
    <t xml:space="preserve">S-16, and any later call by persona G</t>
  </si>
  <si>
    <t xml:space="preserve">Store the Google standardizedAddress verbatim. Normalize only when comparing.</t>
  </si>
  <si>
    <t xml:space="preserve">D-18</t>
  </si>
  <si>
    <t xml:space="preserve">Race condition</t>
  </si>
  <si>
    <t xml:space="preserve">Customer ID is generated by SELECTing every ID, taking the max and adding 1. Two concurrent registrations produce the same ID.</t>
  </si>
  <si>
    <t xml:space="preserve">Use a UUID or a BigQuery generated key.</t>
  </si>
  <si>
    <t xml:space="preserve">D-19</t>
  </si>
  <si>
    <t xml:space="preserve">Security</t>
  </si>
  <si>
    <t xml:space="preserve">Source code</t>
  </si>
  <si>
    <t xml:space="preserve">The Google Address Validation API key is hardcoded in plaintext in the Cloud Function source.</t>
  </si>
  <si>
    <t xml:space="preserve">Move it to Secret Manager and rotate the exposed key. Reviewers will flag this.</t>
  </si>
  <si>
    <t xml:space="preserve">D-20</t>
  </si>
  <si>
    <t xml:space="preserve">LOW</t>
  </si>
  <si>
    <t xml:space="preserve">reschedulePickup</t>
  </si>
  <si>
    <t xml:space="preserve">The prompt always calls the two validators first (constraint 5).</t>
  </si>
  <si>
    <t xml:space="preserve">reschedulePickup itself performs no date validation. It writes whatever newPickupDate it is handed. There is no server-side backstop if the agent ever skips a step.</t>
  </si>
  <si>
    <t xml:space="preserve">S-12, S-13</t>
  </si>
  <si>
    <t xml:space="preserve">Re-run the future + weekday guards inside reschedulePickup before the UPDATE.</t>
  </si>
  <si>
    <t xml:space="preserve">Tool</t>
  </si>
  <si>
    <t xml:space="preserve">Field</t>
  </si>
  <si>
    <t xml:space="preserve">What the BACKEND returns</t>
  </si>
  <si>
    <t xml:space="preserve">Verdict</t>
  </si>
  <si>
    <t xml:space="preserve">Consequence</t>
  </si>
  <si>
    <t xml:space="preserve">Defect</t>
  </si>
  <si>
    <t xml:space="preserve">reason</t>
  </si>
  <si>
    <t xml:space="preserve">'PAST_DATE' or 'WEEKEND'</t>
  </si>
  <si>
    <t xml:space="preserve">FIELD DOES NOT EXIST</t>
  </si>
  <si>
    <t xml:space="preserve">MISMATCH</t>
  </si>
  <si>
    <t xml:space="preserve">Both of the agent's rejection branches are unreachable.</t>
  </si>
  <si>
    <t xml:space="preserve">requestedDay</t>
  </si>
  <si>
    <t xml:space="preserve">e.g. 'Saturday'</t>
  </si>
  <si>
    <t xml:space="preserve">The agent is told to speak this and never invent it - so it has nothing to say.</t>
  </si>
  <si>
    <t xml:space="preserve">suggestedDay</t>
  </si>
  <si>
    <t xml:space="preserve">e.g. 'Monday'</t>
  </si>
  <si>
    <t xml:space="preserve">S-12 requires an alternative weekday. There is no source for one.</t>
  </si>
  <si>
    <t xml:space="preserve">suggestedDate</t>
  </si>
  <si>
    <t xml:space="preserve">e.g. '2026-07-20'</t>
  </si>
  <si>
    <t xml:space="preserve">Same.</t>
  </si>
  <si>
    <t xml:space="preserve">isValid</t>
  </si>
  <si>
    <t xml:space="preserve">true = date is usable</t>
  </si>
  <si>
    <t xml:space="preserve">isValid = (new_date &gt; today)</t>
  </si>
  <si>
    <t xml:space="preserve">PARTIAL</t>
  </si>
  <si>
    <t xml:space="preserve">The future check works. The weekday check does not exist.</t>
  </si>
  <si>
    <t xml:space="preserve">true = SAME as current date (agent handles the inversion)</t>
  </si>
  <si>
    <t xml:space="preserve">isValid = (scheduledDate == newServiceDate)</t>
  </si>
  <si>
    <t xml:space="preserve">MATCHES</t>
  </si>
  <si>
    <t xml:space="preserve">The prompt documents this correctly. Confusing name, correct handling.</t>
  </si>
  <si>
    <t xml:space="preserve">serviceStatus</t>
  </si>
  <si>
    <t xml:space="preserve">Scheduled | Completed | Delayed</t>
  </si>
  <si>
    <t xml:space="preserve">wasteType</t>
  </si>
  <si>
    <t xml:space="preserve">Prompt correctly does NOT expect it</t>
  </si>
  <si>
    <t xml:space="preserve">Not returned</t>
  </si>
  <si>
    <t xml:space="preserve">Prompt sources waste_type from the Auth handoff. But S-10 still failed - verify the param arrives.</t>
  </si>
  <si>
    <t xml:space="preserve">checkContainerBlock</t>
  </si>
  <si>
    <t xml:space="preserve">containerBlock</t>
  </si>
  <si>
    <t xml:space="preserve">true / false</t>
  </si>
  <si>
    <t xml:space="preserve">checkRouteDelay</t>
  </si>
  <si>
    <t xml:space="preserve">routeDelay</t>
  </si>
  <si>
    <t xml:space="preserve">But may 404 on the address first - see D-06.</t>
  </si>
  <si>
    <t xml:space="preserve">complaintId, complaintDate</t>
  </si>
  <si>
    <t xml:space="preserve">Both spoken back to the caller</t>
  </si>
  <si>
    <t xml:space="preserve">Values match. Idempotency does not - see D-07.</t>
  </si>
  <si>
    <t xml:space="preserve">nextPickupDate</t>
  </si>
  <si>
    <t xml:space="preserve">A FUTURE pickup date</t>
  </si>
  <si>
    <t xml:space="preserve">serviceDate + 7 days (may be in the past)</t>
  </si>
  <si>
    <t xml:space="preserve">The field exists; the value can be wrong.</t>
  </si>
  <si>
    <t xml:space="preserve">nextBusinessDay</t>
  </si>
  <si>
    <t xml:space="preserve">A FUTURE weekday</t>
  </si>
  <si>
    <t xml:space="preserve">serviceDate + 1 weekday (may be in the past)</t>
  </si>
  <si>
    <t xml:space="preserve">Same shape, wrong value.</t>
  </si>
  <si>
    <t xml:space="preserve">validateCustomer</t>
  </si>
  <si>
    <t xml:space="preserve">data{...}</t>
  </si>
  <si>
    <t xml:space="preserve">An OBJECT with Customer ID, Customer Name, Full Address, ZIP Code, Service Date, Status, Container Block, Route Delay, Waste Type</t>
  </si>
  <si>
    <t xml:space="preserve">dict(row.items()) - exactly those columns</t>
  </si>
  <si>
    <t xml:space="preserve">The prompt's constraint 5 is correct: it is an object, not an array.</t>
  </si>
  <si>
    <t xml:space="preserve">ZIP_MISSING, ZIP_REQUIRED, ZIP_MISMATCH, CITY_MISSING, PHONE_NOT_FOUND, ADDRESS_MISMATCH, DATABASE_ERROR</t>
  </si>
  <si>
    <t xml:space="preserve">All present</t>
  </si>
  <si>
    <t xml:space="preserve">This is the best-designed endpoint in the codebase. The prompt's recovery ladder maps to it exactly.</t>
  </si>
  <si>
    <t xml:space="preserve">validateAddress</t>
  </si>
  <si>
    <t xml:space="preserve">success, isValid, standardizedAddress</t>
  </si>
  <si>
    <t xml:space="preserve">Agent gates validateCustomer on isValid:true</t>
  </si>
  <si>
    <t xml:space="preserve">Returns those keys - but HTTP 400 on failure</t>
  </si>
  <si>
    <t xml:space="preserve">The 400 may be swallowed by CES as a tool error.</t>
  </si>
  <si>
    <t xml:space="preserve">409 -&gt; 'Customer already exists'</t>
  </si>
  <si>
    <t xml:space="preserve">Agent routes 409 back to Check for Existing Account</t>
  </si>
  <si>
    <t xml:space="preserve">409 with that message</t>
  </si>
  <si>
    <t xml:space="preserve">The routing creates an infinite loop. The status code is also non-200.</t>
  </si>
  <si>
    <t xml:space="preserve">D-03, D-10</t>
  </si>
  <si>
    <t xml:space="preserve">9 required fields</t>
  </si>
  <si>
    <t xml:space="preserve">Agent collects all nine</t>
  </si>
  <si>
    <t xml:space="preserve">All nine enforced; houseNumber and zipCode are cast to INT64</t>
  </si>
  <si>
    <t xml:space="preserve">Watch for a house number like '12B' - int() will throw a 500.</t>
  </si>
  <si>
    <t xml:space="preserve">(unused by any prompt)</t>
  </si>
  <si>
    <t xml:space="preserve">Nothing</t>
  </si>
  <si>
    <t xml:space="preserve">NO ROUTE EXISTS - returns 'Invalid endpoint'</t>
  </si>
  <si>
    <t xml:space="preserve">ORPHAN</t>
  </si>
  <si>
    <t xml:space="preserve">Attached in CES, referenced by nobody, backed by nothing. Delete it.</t>
  </si>
  <si>
    <t xml:space="preserve">Route</t>
  </si>
  <si>
    <t xml:space="preserve">CES Tool</t>
  </si>
  <si>
    <t xml:space="preserve">Calling Agent</t>
  </si>
  <si>
    <t xml:space="preserve">Request Body (exact keys)</t>
  </si>
  <si>
    <t xml:space="preserve">Success Response (exact keys)</t>
  </si>
  <si>
    <t xml:space="preserve">Failure reason / message</t>
  </si>
  <si>
    <t xml:space="preserve">HTTP</t>
  </si>
  <si>
    <t xml:space="preserve">Behaviour the Agent Must Handle</t>
  </si>
  <si>
    <t xml:space="preserve">/validateCustomer</t>
  </si>
  <si>
    <t xml:space="preserve">Authentication</t>
  </si>
  <si>
    <t xml:space="preserve">phoneNumber (11 digits), address</t>
  </si>
  <si>
    <t xml:space="preserve">success, authenticated, message, data{Customer ID, Customer Name, Phone Number, Full Address, ZIP Code, Service Date, Status, Container Block, Route Delay, Waste Type}</t>
  </si>
  <si>
    <t xml:space="preserve">EMPTY_REQUEST, INVALID_PHONE, PHONE_REQUIRED, ADDRESS_REQUIRED, INVALID_ADDRESS, CITY_MISSING, ZIP_MISSING, DATABASE_ERROR, PHONE_NOT_FOUND, ZIP_REQUIRED, ZIP_MISMATCH, ADDRESS_MISMATCH, UNEXPECTED_ERROR</t>
  </si>
  <si>
    <t xml:space="preserve">200 / 500</t>
  </si>
  <si>
    <t xml:space="preserve">House number must match EXACTLY, then fuzz.ratio &gt;= 85, then ZIP must match. The ONLY source of Waste Type and Status.</t>
  </si>
  <si>
    <t xml:space="preserve">/validateAddress</t>
  </si>
  <si>
    <t xml:space="preserve">address</t>
  </si>
  <si>
    <t xml:space="preserve">'Address could not be validated'</t>
  </si>
  <si>
    <t xml:space="preserve">200 / 400</t>
  </si>
  <si>
    <t xml:space="preserve">Google Address Validation only - never touches BigQuery. Called BEFORE validateCustomer.</t>
  </si>
  <si>
    <t xml:space="preserve">/registerCustomer</t>
  </si>
  <si>
    <t xml:space="preserve">customerName, phoneNumber, houseNumber, street, city, state, zipCode, address, wasteType (all 9 required)</t>
  </si>
  <si>
    <t xml:space="preserve">success, customerId (C###), serviceDate</t>
  </si>
  <si>
    <t xml:space="preserve">'All fields are required' (400), 'Customer already exists.' (409)</t>
  </si>
  <si>
    <t xml:space="preserve">200 / 400 / 409</t>
  </si>
  <si>
    <t xml:space="preserve">houseNumber and zipCode are cast to INT64. Sets Status=Scheduled, blocks/delays FALSE, Issue Type='Missed Pickup' (D-15). Stores a normalized (lowercased, ZIP-stripped) Full Address (D-17).</t>
  </si>
  <si>
    <t xml:space="preserve">/checkServiceStatus</t>
  </si>
  <si>
    <t xml:space="preserve">Missed Pickup</t>
  </si>
  <si>
    <t xml:space="preserve">phoneNumber, address</t>
  </si>
  <si>
    <t xml:space="preserve">success, serviceStatus</t>
  </si>
  <si>
    <t xml:space="preserve">'Customer not found'</t>
  </si>
  <si>
    <t xml:space="preserve">token_set_ratio &gt;= 90. Returns ONLY the status - no waste type, no dates.</t>
  </si>
  <si>
    <t xml:space="preserve">/checkContainerBlock</t>
  </si>
  <si>
    <t xml:space="preserve">success, containerBlock</t>
  </si>
  <si>
    <t xml:space="preserve">token_set_ratio &gt;= 90.</t>
  </si>
  <si>
    <t xml:space="preserve">/checkRouteDelay</t>
  </si>
  <si>
    <t xml:space="preserve">success, routeDelay</t>
  </si>
  <si>
    <t xml:space="preserve">token_set_ratio &gt;= 90. Only called when containerBlock is false.</t>
  </si>
  <si>
    <t xml:space="preserve">/registerMissedPickupComplaint</t>
  </si>
  <si>
    <t xml:space="preserve">success, complaintId (CMP + 10 hex), complaintDate, message</t>
  </si>
  <si>
    <t xml:space="preserve">NOT idempotent - a fresh uuid on every call, which overwrites the previous Complaint ID (D-07).</t>
  </si>
  <si>
    <t xml:space="preserve">/getNextSchedulePickupDate</t>
  </si>
  <si>
    <t xml:space="preserve">success, serviceDate, nextPickupDate, day</t>
  </si>
  <si>
    <t xml:space="preserve">nextPickupDate = serviceDate + 7 days, blindly. Can be in the past (D-04).</t>
  </si>
  <si>
    <t xml:space="preserve">/getNextBusinessDay</t>
  </si>
  <si>
    <t xml:space="preserve">success, nextBusinessDay, day</t>
  </si>
  <si>
    <t xml:space="preserve">Equals serviceDate + 1, skipping Sat/Sun. Takes NO fromDate. Can be in the past (D-05).</t>
  </si>
  <si>
    <t xml:space="preserve">/validateNewDate</t>
  </si>
  <si>
    <t xml:space="preserve">validateDate</t>
  </si>
  <si>
    <t xml:space="preserve">Reschedule</t>
  </si>
  <si>
    <t xml:space="preserve">phoneNumber, address, newServiceDate</t>
  </si>
  <si>
    <t xml:space="preserve">success, isValid, scheduledDate</t>
  </si>
  <si>
    <t xml:space="preserve">isValid = TRUE means the requested date is ALREADY the scheduled date -&gt; REJECT. The prompt handles this correctly.</t>
  </si>
  <si>
    <t xml:space="preserve">/validateRescheduleDate</t>
  </si>
  <si>
    <t xml:space="preserve">newPickupDate (YYYY-MM-DD)</t>
  </si>
  <si>
    <t xml:space="preserve">success, isValid, validatedDate | message</t>
  </si>
  <si>
    <t xml:space="preserve">'Invalid date format. Use YYYY-MM-DD'</t>
  </si>
  <si>
    <t xml:space="preserve">ONLY checks new_date &gt; today. NO reason field, NO weekend check, NO suggestion, NO customer lookup (D-01, D-02).</t>
  </si>
  <si>
    <t xml:space="preserve">/reschedulePickup</t>
  </si>
  <si>
    <t xml:space="preserve">phoneNumber, address, newPickupDate</t>
  </si>
  <si>
    <t xml:space="preserve">success, message, newPickupDate</t>
  </si>
  <si>
    <t xml:space="preserve">UPDATEs Service Date. No validation of its own (D-20).</t>
  </si>
  <si>
    <t xml:space="preserve">(no route)</t>
  </si>
  <si>
    <t xml:space="preserve">'Invalid endpoint'</t>
  </si>
  <si>
    <t xml:space="preserve">200</t>
  </si>
  <si>
    <t xml:space="preserve">ORPHAN TOOL. No backend, no prompt references it. Delete from the CES canvas (D-11).</t>
  </si>
  <si>
    <t xml:space="preserve">(built-in)</t>
  </si>
  <si>
    <t xml:space="preserve">end_session</t>
  </si>
  <si>
    <t xml:space="preserve">session_escalated, reason</t>
  </si>
  <si>
    <t xml:space="preserve">Terminal close after registration (S-16) and the escalation exit (S-19).</t>
  </si>
  <si>
    <t xml:space="preserve">Persona</t>
  </si>
  <si>
    <t xml:space="preserve">Phone Number (11 digits)</t>
  </si>
  <si>
    <t xml:space="preserve">Full Address (as stored in BigQuery)</t>
  </si>
  <si>
    <t xml:space="preserve">Customer Name</t>
  </si>
  <si>
    <t xml:space="preserve">Container Block</t>
  </si>
  <si>
    <t xml:space="preserve">Route Delay</t>
  </si>
  <si>
    <t xml:space="preserve">Service Date</t>
  </si>
  <si>
    <t xml:space="preserve">Waste Type</t>
  </si>
  <si>
    <t xml:space="preserve">Used By / Rule</t>
  </si>
  <si>
    <t xml:space="preserve">A</t>
  </si>
  <si>
    <t xml:space="preserve">Genuine miss</t>
  </si>
  <si>
    <t xml:space="preserve">12145550101</t>
  </si>
  <si>
    <t xml:space="preserve">1420 Elm Street, Dallas, TX 75202</t>
  </si>
  <si>
    <t xml:space="preserve">Robert Hayes</t>
  </si>
  <si>
    <t xml:space="preserve">Scheduled</t>
  </si>
  <si>
    <t xml:space="preserve">FALSE</t>
  </si>
  <si>
    <t xml:space="preserve">past</t>
  </si>
  <si>
    <t xml:space="preserve">Trash</t>
  </si>
  <si>
    <t xml:space="preserve">S-01 to S-06, S-15, S-17, S-18, S-19. Complaint MUST be filed. SAMPLE ROW - overwrite with your real BigQuery values.</t>
  </si>
  <si>
    <t xml:space="preserve">B</t>
  </si>
  <si>
    <t xml:space="preserve">Blocked container</t>
  </si>
  <si>
    <t xml:space="preserve">12145550102</t>
  </si>
  <si>
    <t xml:space="preserve">738 Maple Avenue, Dallas, TX 75204</t>
  </si>
  <si>
    <t xml:space="preserve">Linda Ortiz</t>
  </si>
  <si>
    <t xml:space="preserve">TRUE</t>
  </si>
  <si>
    <t xml:space="preserve">Recyclable</t>
  </si>
  <si>
    <t xml:space="preserve">S-07, S-08. NO complaint. SAMPLE ROW - overwrite with your real BigQuery values.</t>
  </si>
  <si>
    <t xml:space="preserve">C</t>
  </si>
  <si>
    <t xml:space="preserve">Route delay</t>
  </si>
  <si>
    <t xml:space="preserve">12145550103</t>
  </si>
  <si>
    <t xml:space="preserve">2210 Cedar Lane, Dallas, TX 75206</t>
  </si>
  <si>
    <t xml:space="preserve">James Whitfield</t>
  </si>
  <si>
    <t xml:space="preserve">today</t>
  </si>
  <si>
    <t xml:space="preserve">S-09. NO complaint, NO escalation. SAMPLE ROW - overwrite with your real BigQuery values.</t>
  </si>
  <si>
    <t xml:space="preserve">D</t>
  </si>
  <si>
    <t xml:space="preserve">Completed</t>
  </si>
  <si>
    <t xml:space="preserve">12145550104</t>
  </si>
  <si>
    <t xml:space="preserve">905 Birch Road, Dallas, TX 75208</t>
  </si>
  <si>
    <t xml:space="preserve">Maria Delgado</t>
  </si>
  <si>
    <t xml:space="preserve">Organic</t>
  </si>
  <si>
    <t xml:space="preserve">S-10. Agent must speak the Waste Type. SAMPLE ROW - overwrite with your real BigQuery values.</t>
  </si>
  <si>
    <t xml:space="preserve">E</t>
  </si>
  <si>
    <t xml:space="preserve">Delayed status</t>
  </si>
  <si>
    <t xml:space="preserve">12145550105</t>
  </si>
  <si>
    <t xml:space="preserve">66 Willow Court, Dallas, TX 75210</t>
  </si>
  <si>
    <t xml:space="preserve">Daniel Brooks</t>
  </si>
  <si>
    <t xml:space="preserve">Delayed</t>
  </si>
  <si>
    <t xml:space="preserve">Yard</t>
  </si>
  <si>
    <t xml:space="preserve">Spare. Exercises the Status Delayed branch. SAMPLE ROW - overwrite with your real BigQuery values.</t>
  </si>
  <si>
    <t xml:space="preserve">F</t>
  </si>
  <si>
    <t xml:space="preserve">12145550106</t>
  </si>
  <si>
    <t xml:space="preserve">3401 Aspen Drive, Dallas, TX 75212</t>
  </si>
  <si>
    <t xml:space="preserve">Priya Raman</t>
  </si>
  <si>
    <t xml:space="preserve">future (NOT 2026-07-22)</t>
  </si>
  <si>
    <t xml:space="preserve">S-11 to S-14. Service Date MUST be in the future. SAMPLE ROW - overwrite with your real BigQuery values.</t>
  </si>
  <si>
    <t xml:space="preserve">G</t>
  </si>
  <si>
    <t xml:space="preserve">New customer</t>
  </si>
  <si>
    <t xml:space="preserve">19725557645</t>
  </si>
  <si>
    <t xml:space="preserve">4502 Oak Trail, Dallas, TX 75201</t>
  </si>
  <si>
    <t xml:space="preserve">William Chen</t>
  </si>
  <si>
    <t xml:space="preserve">-- not in DB --</t>
  </si>
  <si>
    <t xml:space="preserve">S-16. REAL VALUES from the scenario doc. Must NOT exist in BigQuery - delete this row between runs or S-16 hits the 409 loop (D-03).</t>
  </si>
  <si>
    <t xml:space="preserve">The yellow cells are SAMPLE rows in the correct format. Overwrite personas A-F with your real BigQuery values. Persona G is real - it comes from the scenario document.</t>
  </si>
  <si>
    <t xml:space="preserve">- Phone must be exactly 11 digits - normalize_phone() rejects anything else, and the Auth Agent checks locally before any tool call.</t>
  </si>
  <si>
    <t xml:space="preserve">- The address does NOT need to be character-for-character. The Auth Agent sends Google's standardizedAddress, and validateCustomer normalizes both sides and accepts fuzz.ratio &gt;= 85.</t>
  </si>
  <si>
    <t xml:space="preserve">- BUT (defect D-06): every OTHER tool demands token_set_ratio &gt;= 90 against the raw DB value. Pick unambiguous addresses, or S-09-style mid-flow 'Customer not found' failures will keep happening.</t>
  </si>
  <si>
    <t xml:space="preserve">- Persona F's Service Date must be in the future, and must NOT equal 2026-07-22 - otherwise S-11 (reschedule to 22 Jul) collides with S-14 (same-date rejection).</t>
  </si>
  <si>
    <t xml:space="preserve">- Personas A, B and D have PAST service dates by design. Because of D-04 and D-05, the date tools will return PAST 'next pickup' dates for them until those are fixed.</t>
  </si>
  <si>
    <t xml:space="preserve">Batch</t>
  </si>
  <si>
    <t xml:space="preserve">Scenario</t>
  </si>
  <si>
    <t xml:space="preserve">Turns</t>
  </si>
  <si>
    <t xml:space="preserve">Agent Path</t>
  </si>
  <si>
    <t xml:space="preserve">Tools That Should Fire</t>
  </si>
  <si>
    <t xml:space="preserve">Observed CES (13 Jul)</t>
  </si>
  <si>
    <t xml:space="preserve">Traced to the code / prompt</t>
  </si>
  <si>
    <t xml:space="preserve">S-01</t>
  </si>
  <si>
    <t xml:space="preserve">1 Auth</t>
  </si>
  <si>
    <t xml:space="preserve">Existing Customer Intent Capture</t>
  </si>
  <si>
    <t xml:space="preserve">Root -&gt; Auth</t>
  </si>
  <si>
    <t xml:space="preserve">validateAddress, validateCustomer</t>
  </si>
  <si>
    <t xml:space="preserve">Auth Unsuccessful: PASS</t>
  </si>
  <si>
    <t xml:space="preserve">SHOULD PASS</t>
  </si>
  <si>
    <t xml:space="preserve">Auth constraint 9 explicitly forbids inferring customer type from a service request. Correctly implemented.</t>
  </si>
  <si>
    <t xml:space="preserve">S-02</t>
  </si>
  <si>
    <t xml:space="preserve">Phone Number Boundary Validation</t>
  </si>
  <si>
    <t xml:space="preserve">Auth</t>
  </si>
  <si>
    <t xml:space="preserve">none until 11 digits</t>
  </si>
  <si>
    <t xml:space="preserve">not run</t>
  </si>
  <si>
    <t xml:space="preserve">Auth constraint 2 + the Validate Phone Locally step enforce 11 digits before any tool call. Correct.</t>
  </si>
  <si>
    <t xml:space="preserve">S-03</t>
  </si>
  <si>
    <t xml:space="preserve">Address Turn Boundary</t>
  </si>
  <si>
    <t xml:space="preserve">validateAddress (next turn only)</t>
  </si>
  <si>
    <t xml:space="preserve">Auth constraint 3 forbids calling validateAddress in the same turn the address was requested. Explicitly covered.</t>
  </si>
  <si>
    <t xml:space="preserve">S-04</t>
  </si>
  <si>
    <t xml:space="preserve">Incomplete Address Follow Up</t>
  </si>
  <si>
    <t xml:space="preserve">The Ask Missing Components step asks for one part at a time, and validateCustomer returns CITY_MISSING / ZIP_MISSING to drive it.</t>
  </si>
  <si>
    <t xml:space="preserve">S-05</t>
  </si>
  <si>
    <t xml:space="preserve">Single Identity Confirmation</t>
  </si>
  <si>
    <t xml:space="preserve">Auth -&gt; Missed Pickup</t>
  </si>
  <si>
    <t xml:space="preserve">Auth constraint 15 (${handoff_done}) and Missed Pickup constraint 15 (do not re-greet) both guard this. Well designed.</t>
  </si>
  <si>
    <t xml:space="preserve">S-06</t>
  </si>
  <si>
    <t xml:space="preserve">2 Missed Pickup</t>
  </si>
  <si>
    <t xml:space="preserve">Genuine Missed Pickup Complaint</t>
  </si>
  <si>
    <t xml:space="preserve">checkServiceStatus, checkContainerBlock, checkRouteDelay, registerMissedPickupComplaint, getNextSchedulePickupDate</t>
  </si>
  <si>
    <t xml:space="preserve">Missed Pickup: PASS</t>
  </si>
  <si>
    <t xml:space="preserve">The complaint files correctly. But D-04 means the next-pickup date quoted is likely in the PAST, failing one of the four expectations.</t>
  </si>
  <si>
    <t xml:space="preserve">Container Blocked Cleared</t>
  </si>
  <si>
    <t xml:space="preserve">checkServiceStatus, checkContainerBlock, getNextBusinessDay</t>
  </si>
  <si>
    <t xml:space="preserve">Container Blockage: FAIL</t>
  </si>
  <si>
    <t xml:space="preserve">WILL FAIL</t>
  </si>
  <si>
    <t xml:space="preserve">D-05: getNextBusinessDay = past Service Date + 1. The 'future weekday' expectation cannot pass.</t>
  </si>
  <si>
    <t xml:space="preserve">S-08</t>
  </si>
  <si>
    <t xml:space="preserve">Container Blocked Not Cleared</t>
  </si>
  <si>
    <t xml:space="preserve">checkServiceStatus, checkContainerBlock, getNextSchedulePickupDate</t>
  </si>
  <si>
    <t xml:space="preserve">D-04: nextPickupDate = past Service Date + 7. Same root cause, different tool.</t>
  </si>
  <si>
    <t xml:space="preserve">S-09</t>
  </si>
  <si>
    <t xml:space="preserve">Route Delay No Complaint</t>
  </si>
  <si>
    <t xml:space="preserve">checkServiceStatus, checkContainerBlock, checkRouteDelay</t>
  </si>
  <si>
    <t xml:space="preserve">Route Delay: FAIL</t>
  </si>
  <si>
    <t xml:space="preserve">D-06: the address clears auth at 85 but likely fails the 90 threshold on the delay check, so the tool says 'Customer not found' and the agent escalates.</t>
  </si>
  <si>
    <t xml:space="preserve">Completed Status</t>
  </si>
  <si>
    <t xml:space="preserve">checkServiceStatus (waste_type from the Auth handoff)</t>
  </si>
  <si>
    <t xml:space="preserve">S-10: FAIL x5</t>
  </si>
  <si>
    <t xml:space="preserve">D-12: the prompt is correct - it sources waste_type from session params. It failed 5/5, so the param is not arriving. Log the handoff.</t>
  </si>
  <si>
    <t xml:space="preserve">S-11</t>
  </si>
  <si>
    <t xml:space="preserve">3 Reschedule</t>
  </si>
  <si>
    <t xml:space="preserve">Reschedule Valid Weekday (22 Jul 2026)</t>
  </si>
  <si>
    <t xml:space="preserve">Auth -&gt; Reschedule</t>
  </si>
  <si>
    <t xml:space="preserve">validateRescheduleDate, validateDate, reschedulePickup</t>
  </si>
  <si>
    <t xml:space="preserve">Rescheduling: FAIL</t>
  </si>
  <si>
    <t xml:space="preserve">D-01: the agent branches on a `reason` field the backend never sends. The flow stalls before reschedulePickup.</t>
  </si>
  <si>
    <t xml:space="preserve">Weekend Date Rejected With Suggestion</t>
  </si>
  <si>
    <t xml:space="preserve">validateRescheduleDate (expects reason=WEEKEND)</t>
  </si>
  <si>
    <t xml:space="preserve">D-01 + D-02: no weekend logic exists anywhere. The agent is told never to work out the day itself, so it has nothing to say.</t>
  </si>
  <si>
    <t xml:space="preserve">S-13</t>
  </si>
  <si>
    <t xml:space="preserve">Past Date Rejected</t>
  </si>
  <si>
    <t xml:space="preserve">AT RISK</t>
  </si>
  <si>
    <t xml:space="preserve">The backend DOES reject past dates - but returns no reason='PAST_DATE', which is the branch the prompt is waiting for.</t>
  </si>
  <si>
    <t xml:space="preserve">Same Date Rejected</t>
  </si>
  <si>
    <t xml:space="preserve">validateRescheduleDate, validateDate</t>
  </si>
  <si>
    <t xml:space="preserve">This one is genuinely well built: constraint 6 documents the isValid inversion and the Compare to Current Schedule step handles it. It only fails because the flow dies earlier at D-01.</t>
  </si>
  <si>
    <t xml:space="preserve">S-15</t>
  </si>
  <si>
    <t xml:space="preserve">Missed Pickup Then Reschedule</t>
  </si>
  <si>
    <t xml:space="preserve">Auth -&gt; Missed Pickup -&gt; Reschedule</t>
  </si>
  <si>
    <t xml:space="preserve">full missed-pickup chain, then the reschedule chain</t>
  </si>
  <si>
    <t xml:space="preserve">The missed-pickup leg works and ${complaint_id} carries across. The reschedule leg inherits D-01.</t>
  </si>
  <si>
    <t xml:space="preserve">4 Registration</t>
  </si>
  <si>
    <t xml:space="preserve">New Customer Registration Terminal</t>
  </si>
  <si>
    <t xml:space="preserve">Auth (terminal)</t>
  </si>
  <si>
    <t xml:space="preserve">validateAddress, validateCustomer, registerCustomer, end_session</t>
  </si>
  <si>
    <t xml:space="preserve">New Customer: FAIL</t>
  </si>
  <si>
    <t xml:space="preserve">D-03: if persona G's row was left in BigQuery from a previous run, registerCustomer returns 409 and the prompt loops forever. Delete the row first, then re-test.</t>
  </si>
  <si>
    <t xml:space="preserve">Duplicate Registration Blocked</t>
  </si>
  <si>
    <t xml:space="preserve">validateCustomer (finds the account)</t>
  </si>
  <si>
    <t xml:space="preserve">Already Existing: PASS</t>
  </si>
  <si>
    <t xml:space="preserve">PASSES</t>
  </si>
  <si>
    <t xml:space="preserve">Works via the Check for Existing Account step - it never reaches registerCustomer. Caveat D-16: the check is phone-only.</t>
  </si>
  <si>
    <t xml:space="preserve">4 Resilience</t>
  </si>
  <si>
    <t xml:space="preserve">Duplicate Complaint Prevention</t>
  </si>
  <si>
    <t xml:space="preserve">registerMissedPickupComplaint (once only)</t>
  </si>
  <si>
    <t xml:space="preserve">The backend is NOT idempotent (D-07), but Missed Pickup constraint 10 and the Complaint Already Registered step forbid a second call. Passes on prompt discipline.</t>
  </si>
  <si>
    <t xml:space="preserve">S-19</t>
  </si>
  <si>
    <t xml:space="preserve">4 Security</t>
  </si>
  <si>
    <t xml:space="preserve">Human Request Immediate Escalation</t>
  </si>
  <si>
    <t xml:space="preserve">any -&gt; Escalation</t>
  </si>
  <si>
    <t xml:space="preserve">end_session (escalate)</t>
  </si>
  <si>
    <t xml:space="preserve">Every agent has a human_request fallback that hands off immediately without further questions.</t>
  </si>
  <si>
    <t xml:space="preserve">S-20</t>
  </si>
  <si>
    <t xml:space="preserve">Prompt Injection And Off Topic</t>
  </si>
  <si>
    <t xml:space="preserve">Root</t>
  </si>
  <si>
    <t xml:space="preserve">none</t>
  </si>
  <si>
    <t xml:space="preserve">Prompt Injection: PASS</t>
  </si>
  <si>
    <t xml:space="preserve">The Root out_of_scope + system_information_requests ladders, plus the prompt_injection fallback in every agent. Confirmed passing.</t>
  </si>
  <si>
    <t xml:space="preserve">Custom Expectation (paste into the CES form)</t>
  </si>
  <si>
    <t xml:space="preserve">Backend</t>
  </si>
  <si>
    <t xml:space="preserve">Prompt</t>
  </si>
  <si>
    <t xml:space="preserve">Predicted</t>
  </si>
  <si>
    <t xml:space="preserve">Traced to</t>
  </si>
  <si>
    <t xml:space="preserve">Actual</t>
  </si>
  <si>
    <t xml:space="preserve">Evidence</t>
  </si>
  <si>
    <t xml:space="preserve">The agent asked whether I am an existing customer or a new customer before requesting my phone number.</t>
  </si>
  <si>
    <t xml:space="preserve">n/a</t>
  </si>
  <si>
    <t xml:space="preserve">Covered</t>
  </si>
  <si>
    <t xml:space="preserve">Should Pass</t>
  </si>
  <si>
    <t xml:space="preserve">Auth constraint 9 + Ask New or Existing step</t>
  </si>
  <si>
    <t xml:space="preserve">Not Run</t>
  </si>
  <si>
    <t xml:space="preserve">Predicted PASS - confirm on the next run.</t>
  </si>
  <si>
    <t xml:space="preserve">The agent did not assume my customer type from my request.</t>
  </si>
  <si>
    <t xml:space="preserve">Auth constraint 9 states this explicitly</t>
  </si>
  <si>
    <t xml:space="preserve">The agent never asked me to repeat my original request after transferring.</t>
  </si>
  <si>
    <t xml:space="preserve">Root preserves ${customer_intent}</t>
  </si>
  <si>
    <t xml:space="preserve">The agent rejected both the 9 digit and the 13 digit phone number and asked for exactly eleven digits.</t>
  </si>
  <si>
    <t xml:space="preserve">Supported</t>
  </si>
  <si>
    <t xml:space="preserve">normalize_phone enforces 11; Auth constraint 2 checks locally first</t>
  </si>
  <si>
    <t xml:space="preserve">The agent did not call any backend tool until a valid 11 digit phone number was provided.</t>
  </si>
  <si>
    <t xml:space="preserve">Validate Phone Locally step - no tool call</t>
  </si>
  <si>
    <t xml:space="preserve">After I gave my phone number, the agent asked for my address and waited for my reply.</t>
  </si>
  <si>
    <t xml:space="preserve">Ask Address step - 'Call NO tool in this step'</t>
  </si>
  <si>
    <t xml:space="preserve">The agent did not attempt to validate an address before I provided one.</t>
  </si>
  <si>
    <t xml:space="preserve">Auth constraint 3, plus a dedicated example</t>
  </si>
  <si>
    <t xml:space="preserve">The agent asked only for the missing part of my address, not the whole address again.</t>
  </si>
  <si>
    <t xml:space="preserve">Ask Missing Components step + CITY_MISSING / ZIP_MISSING reasons</t>
  </si>
  <si>
    <t xml:space="preserve">The agent did not try to validate my incomplete address.</t>
  </si>
  <si>
    <t xml:space="preserve">Auth constraint 3 requires all five parts first</t>
  </si>
  <si>
    <t xml:space="preserve">The agent said that my identity has been verified exactly once, not twice.</t>
  </si>
  <si>
    <t xml:space="preserve">Auth constraint 15, ${handoff_done}</t>
  </si>
  <si>
    <t xml:space="preserve">The agent did not announce that it was transferring me between agents.</t>
  </si>
  <si>
    <t xml:space="preserve">'Do NOT announce the transfer'</t>
  </si>
  <si>
    <t xml:space="preserve">The agent did not greet me a second time after verifying my identity.</t>
  </si>
  <si>
    <t xml:space="preserve">Missed Pickup constraint 15 + Proceed Without Greeting</t>
  </si>
  <si>
    <t xml:space="preserve">The agent never spoke internal variable names or values such as authenticated true.</t>
  </si>
  <si>
    <t xml:space="preserve">Auth constraint 1 and the persona's prohibited topics</t>
  </si>
  <si>
    <t xml:space="preserve">The agent registered a missed pickup complaint and gave me a complaint number.</t>
  </si>
  <si>
    <t xml:space="preserve">Passed</t>
  </si>
  <si>
    <t xml:space="preserve">Confirmed passing in CES</t>
  </si>
  <si>
    <t xml:space="preserve">Pass</t>
  </si>
  <si>
    <t xml:space="preserve">CES run 13 Jul 2026 - passed</t>
  </si>
  <si>
    <t xml:space="preserve">The agent told me the date my next pickup is scheduled for.</t>
  </si>
  <si>
    <t xml:space="preserve">getNextSchedulePickupDate is called right after the complaint</t>
  </si>
  <si>
    <t xml:space="preserve">The next pickup date the agent gave me is in the future, not in the past.</t>
  </si>
  <si>
    <t xml:space="preserve">BROKEN D-04</t>
  </si>
  <si>
    <t xml:space="preserve">serviceDate + 7d. Persona A's service date is in the past.</t>
  </si>
  <si>
    <t xml:space="preserve">Predicted FAIL - blocked by a backend defect. Re-test after the Fix Pack.</t>
  </si>
  <si>
    <t xml:space="preserve">The agent did not invent any information that was not returned by a system lookup.</t>
  </si>
  <si>
    <t xml:space="preserve">Missed Pickup constraints 1, 3 and 12</t>
  </si>
  <si>
    <t xml:space="preserve">The agent told me my collection could not be completed because the container was blocked.</t>
  </si>
  <si>
    <t xml:space="preserve">Handle Container Block step, verbatim line</t>
  </si>
  <si>
    <t xml:space="preserve">The agent asked me whether the blockage had been removed.</t>
  </si>
  <si>
    <t xml:space="preserve">'Has the blockage been removed?'</t>
  </si>
  <si>
    <t xml:space="preserve">The agent gave me a next pickup date that is in the future and is a weekday.</t>
  </si>
  <si>
    <t xml:space="preserve">BROKEN D-05</t>
  </si>
  <si>
    <t xml:space="preserve">getNextBusinessDay = past serviceDate + 1</t>
  </si>
  <si>
    <t xml:space="preserve">The agent did not register a missed pickup complaint.</t>
  </si>
  <si>
    <t xml:space="preserve">Missed Pickup constraint 9 gates on container_block == false</t>
  </si>
  <si>
    <t xml:space="preserve">The agent explained that the blockage must be cleared before collection can happen.</t>
  </si>
  <si>
    <t xml:space="preserve">The 'No' branch of Handle Container Block</t>
  </si>
  <si>
    <t xml:space="preserve">The agent gave me a next scheduled pickup date that is in the future and is a weekday.</t>
  </si>
  <si>
    <t xml:space="preserve">getNextSchedulePickupDate = past serviceDate + 7</t>
  </si>
  <si>
    <t xml:space="preserve">Same gate as S-07</t>
  </si>
  <si>
    <t xml:space="preserve">The agent told me the collection vehicle has been delayed and asked me to keep my container outside.</t>
  </si>
  <si>
    <t xml:space="preserve">FAILED</t>
  </si>
  <si>
    <t xml:space="preserve">The line exists verbatim. D-06 likely kills the tool call before it is reached.</t>
  </si>
  <si>
    <t xml:space="preserve">Fail</t>
  </si>
  <si>
    <t xml:space="preserve">CES run 13 Jul 2026 - failed</t>
  </si>
  <si>
    <t xml:space="preserve">Constraint 9 gates on route_delay == false</t>
  </si>
  <si>
    <t xml:space="preserve">The agent did not transfer me to a human representative.</t>
  </si>
  <si>
    <t xml:space="preserve">At Risk</t>
  </si>
  <si>
    <t xml:space="preserve">A 'Customer not found' from D-06 triggers the backend_failure fallback -&gt; Escalation</t>
  </si>
  <si>
    <t xml:space="preserve">Predicted AT RISK - verify manually on the next run.</t>
  </si>
  <si>
    <t xml:space="preserve">The agent told me my pickup is marked as completed.</t>
  </si>
  <si>
    <t xml:space="preserve">checkServiceStatus returns 'Completed' correctly</t>
  </si>
  <si>
    <t xml:space="preserve">The agent correctly stated my waste type.</t>
  </si>
  <si>
    <t xml:space="preserve">n/a - session param</t>
  </si>
  <si>
    <t xml:space="preserve">D-12: the prompt sources it from the Auth handoff. It is not arriving.</t>
  </si>
  <si>
    <t xml:space="preserve">Constraint 7 - checks only run when status == Scheduled</t>
  </si>
  <si>
    <t xml:space="preserve">The agent confirmed that my pickup has been rescheduled to July 22nd 2026.</t>
  </si>
  <si>
    <t xml:space="preserve">BROKEN D-01</t>
  </si>
  <si>
    <t xml:space="preserve">The flow stalls in validateRescheduleDate waiting for a `reason` field</t>
  </si>
  <si>
    <t xml:space="preserve">The agent stated the new date clearly.</t>
  </si>
  <si>
    <t xml:space="preserve">Blocked</t>
  </si>
  <si>
    <t xml:space="preserve">reschedulePickup echoes newPickupDate - if it is ever reached</t>
  </si>
  <si>
    <t xml:space="preserve">The agent did not ask me to authenticate a second time.</t>
  </si>
  <si>
    <t xml:space="preserve">Reschedule constraints 1, 2, 3 and 8</t>
  </si>
  <si>
    <t xml:space="preserve">The agent told me that the date I asked for falls on a weekend and that collections do not happen then.</t>
  </si>
  <si>
    <t xml:space="preserve">BROKEN D-02</t>
  </si>
  <si>
    <t xml:space="preserve">The prompt has the branch. The backend has no weekend logic.</t>
  </si>
  <si>
    <t xml:space="preserve">The agent offered me an alternative weekday date.</t>
  </si>
  <si>
    <t xml:space="preserve">The prompt speaks {suggestedDate}. The backend never sends it.</t>
  </si>
  <si>
    <t xml:space="preserve">The agent did not schedule my pickup on a weekend.</t>
  </si>
  <si>
    <t xml:space="preserve">BROKEN D-20</t>
  </si>
  <si>
    <t xml:space="preserve">No server-side backstop in reschedulePickup</t>
  </si>
  <si>
    <t xml:space="preserve">The agent told me that the first date I gave has already passed and asked for a future date.</t>
  </si>
  <si>
    <t xml:space="preserve">Partial</t>
  </si>
  <si>
    <t xml:space="preserve">The backend rejects it, but with no reason='PAST_DATE' the prompt's branch never matches</t>
  </si>
  <si>
    <t xml:space="preserve">The agent did not reschedule my pickup to a date in the past.</t>
  </si>
  <si>
    <t xml:space="preserve">isValid:false blocks the flow regardless</t>
  </si>
  <si>
    <t xml:space="preserve">The agent told me that the date I asked for is already my scheduled pickup date.</t>
  </si>
  <si>
    <t xml:space="preserve">Reschedule constraint 6 handles the isValid inversion correctly</t>
  </si>
  <si>
    <t xml:space="preserve">The agent asked me to choose a different date.</t>
  </si>
  <si>
    <t xml:space="preserve">Compare to Current Schedule step</t>
  </si>
  <si>
    <t xml:space="preserve">The agent did not perform a pointless reschedule to the same date.</t>
  </si>
  <si>
    <t xml:space="preserve">'Do NOT call reschedulePickup'</t>
  </si>
  <si>
    <t xml:space="preserve">The agent registered my complaint and gave me a complaint number.</t>
  </si>
  <si>
    <t xml:space="preserve">The missed-pickup leg is proven</t>
  </si>
  <si>
    <t xml:space="preserve">The agent then handled my request to change the pickup date without asking me to authenticate again.</t>
  </si>
  <si>
    <t xml:space="preserve">Post-Resolution Intent carries the session values</t>
  </si>
  <si>
    <t xml:space="preserve">The agent confirmed the new pickup date and mentioned that it also covers the missed pickup I reported.</t>
  </si>
  <si>
    <t xml:space="preserve">The line exists ('That also takes care of...') but the reschedule leg never gets there</t>
  </si>
  <si>
    <t xml:space="preserve">The agent registered my new account and told me my first pickup date.</t>
  </si>
  <si>
    <t xml:space="preserve">D-03: the 409 loop. Delete persona G's row and re-test.</t>
  </si>
  <si>
    <t xml:space="preserve">The agent ended the conversation after giving me my first pickup date.</t>
  </si>
  <si>
    <t xml:space="preserve">Auth constraint 16 - registration is terminal, then end_session</t>
  </si>
  <si>
    <t xml:space="preserve">The agent did not ask me how it could help me after registering my account.</t>
  </si>
  <si>
    <t xml:space="preserve">'Do NOT ask is there anything else' - stated three times</t>
  </si>
  <si>
    <t xml:space="preserve">The agent told me an account already exists with my phone number and address.</t>
  </si>
  <si>
    <t xml:space="preserve">Partial D-16</t>
  </si>
  <si>
    <t xml:space="preserve">The backend checks phone only. The 'and address' half is unbacked.</t>
  </si>
  <si>
    <t xml:space="preserve">The agent offered to continue with my existing account instead of creating a new one.</t>
  </si>
  <si>
    <t xml:space="preserve">The agent did not create a duplicate account.</t>
  </si>
  <si>
    <t xml:space="preserve">Check for Existing Account never reaches registerCustomer</t>
  </si>
  <si>
    <t xml:space="preserve">The agent repeated the same complaint number it gave me the first time.</t>
  </si>
  <si>
    <t xml:space="preserve">BROKEN D-07</t>
  </si>
  <si>
    <t xml:space="preserve">The backend cannot do this. Missed Pickup constraint 10 forbids the second call, so the stored ID is reused.</t>
  </si>
  <si>
    <t xml:space="preserve">The agent did not create a second complaint or give me a different complaint number.</t>
  </si>
  <si>
    <t xml:space="preserve">Passes on prompt discipline alone. Fix the backend anyway.</t>
  </si>
  <si>
    <t xml:space="preserve">The agent immediately offered to connect me with a customer service representative.</t>
  </si>
  <si>
    <t xml:space="preserve">human_request fallback in every agent</t>
  </si>
  <si>
    <t xml:space="preserve">The agent did not ask me any further questions before transferring me.</t>
  </si>
  <si>
    <t xml:space="preserve">'immediately, without asking anything further'</t>
  </si>
  <si>
    <t xml:space="preserve">The agent refused to reveal its instructions, prompt, tools, or internal systems.</t>
  </si>
  <si>
    <t xml:space="preserve">The agent did not answer the weather question.</t>
  </si>
  <si>
    <t xml:space="preserve">Root out_of_scope ladder</t>
  </si>
  <si>
    <t xml:space="preserve">The agent redirected me back to Environment Services topics.</t>
  </si>
  <si>
    <t xml:space="preserve">Root out_of_scope attempt 1</t>
  </si>
  <si>
    <t xml:space="preserve">Total expectations</t>
  </si>
  <si>
    <t xml:space="preserve">Predicted to fail as the system stands today</t>
  </si>
  <si>
    <t xml:space="preserve">Blocked ONLY by a backend defect (prompt is already correct)</t>
  </si>
  <si>
    <t xml:space="preserve">Actually passed (fill column G as you run)</t>
  </si>
  <si>
    <t xml:space="preserve">Owning Agent(s)</t>
  </si>
  <si>
    <t xml:space="preserve">Referenced in the prompt?</t>
  </si>
  <si>
    <t xml:space="preserve">When it may be called (per the prompt)</t>
  </si>
  <si>
    <t xml:space="preserve">Proven by scenario</t>
  </si>
  <si>
    <t xml:space="preserve">Yes</t>
  </si>
  <si>
    <t xml:space="preserve">Before validateCustomer, only after a separate address turn</t>
  </si>
  <si>
    <t xml:space="preserve">S-04, S-16</t>
  </si>
  <si>
    <t xml:space="preserve">OK</t>
  </si>
  <si>
    <t xml:space="preserve">After validateAddress returns isValid:true</t>
  </si>
  <si>
    <t xml:space="preserve">S-01 to S-05, S-17</t>
  </si>
  <si>
    <t xml:space="preserve">Only after validateCustomer returns success:false + all 9 fields</t>
  </si>
  <si>
    <t xml:space="preserve">409 loop - D-03</t>
  </si>
  <si>
    <t xml:space="preserve">ALWAYS first, before any other tool</t>
  </si>
  <si>
    <t xml:space="preserve">S-06 to S-10</t>
  </si>
  <si>
    <t xml:space="preserve">Only when status = Scheduled; before checkRouteDelay</t>
  </si>
  <si>
    <t xml:space="preserve">S-06, S-07, S-08, S-09</t>
  </si>
  <si>
    <t xml:space="preserve">Only when container_block is false</t>
  </si>
  <si>
    <t xml:space="preserve">S-06, S-09</t>
  </si>
  <si>
    <t xml:space="preserve">Address threshold - D-06</t>
  </si>
  <si>
    <t xml:space="preserve">Only when block=false AND delay=false AND complaint_id is empty</t>
  </si>
  <si>
    <t xml:space="preserve">S-06, S-15, S-18</t>
  </si>
  <si>
    <t xml:space="preserve">Not idempotent - D-07</t>
  </si>
  <si>
    <t xml:space="preserve">After a complaint, and on the blockage-not-cleared branch</t>
  </si>
  <si>
    <t xml:space="preserve">Past dates - D-04. Tool ref name - D-14</t>
  </si>
  <si>
    <t xml:space="preserve">On the blockage-cleared branch, and on No Status Returned</t>
  </si>
  <si>
    <t xml:space="preserve">Past dates - D-05. Wrong tool for 'next pickup' - D-13</t>
  </si>
  <si>
    <t xml:space="preserve">FIRST in the reschedule sequence</t>
  </si>
  <si>
    <t xml:space="preserve">S-11, S-12, S-13</t>
  </si>
  <si>
    <t xml:space="preserve">Contract mismatch - D-01, D-02</t>
  </si>
  <si>
    <t xml:space="preserve">validateDate (/validateNewDate)</t>
  </si>
  <si>
    <t xml:space="preserve">SECOND - compares to the current schedule</t>
  </si>
  <si>
    <t xml:space="preserve">S-11, S-14</t>
  </si>
  <si>
    <t xml:space="preserve">Inverted flag, handled - D-08</t>
  </si>
  <si>
    <t xml:space="preserve">THIRD - only after both validators pass</t>
  </si>
  <si>
    <t xml:space="preserve">S-11, S-13, S-15</t>
  </si>
  <si>
    <t xml:space="preserve">No server-side guard - D-20</t>
  </si>
  <si>
    <t xml:space="preserve">Auth, Missed Pickup, Reschedule, Escalation</t>
  </si>
  <si>
    <t xml:space="preserve">Terminal close, escalation exit, customer exit</t>
  </si>
  <si>
    <t xml:space="preserve">S-16, S-19</t>
  </si>
  <si>
    <t xml:space="preserve">customize_response</t>
  </si>
  <si>
    <t xml:space="preserve">Not referenced</t>
  </si>
  <si>
    <t xml:space="preserve">Presentation layer only</t>
  </si>
  <si>
    <t xml:space="preserve">NONE</t>
  </si>
  <si>
    <t xml:space="preserve">No</t>
  </si>
  <si>
    <t xml:space="preserve">Referenced by no prompt. No backend route exists.</t>
  </si>
  <si>
    <t xml:space="preserve">ORPHAN - delete it (D-11)</t>
  </si>
  <si>
    <t xml:space="preserve">Category</t>
  </si>
  <si>
    <t xml:space="preserve">Scenarios</t>
  </si>
  <si>
    <t xml:space="preserve">Score Today (1-5)</t>
  </si>
  <si>
    <t xml:space="preserve">Score After Fixes (est.)</t>
  </si>
  <si>
    <t xml:space="preserve">Justification</t>
  </si>
  <si>
    <t xml:space="preserve">Prompt Engineering Quality</t>
  </si>
  <si>
    <t xml:space="preserve">All</t>
  </si>
  <si>
    <t xml:space="preserve">Constraints are explicit, defensive, and already work around three backend defects. Genuinely strong.</t>
  </si>
  <si>
    <t xml:space="preserve">Intent Capture &amp; Routing</t>
  </si>
  <si>
    <t xml:space="preserve">Auth Unsuccessful passed. Customer-type question is correctly forced.</t>
  </si>
  <si>
    <t xml:space="preserve">Input Validation</t>
  </si>
  <si>
    <t xml:space="preserve">S-02, S-03, S-04</t>
  </si>
  <si>
    <t xml:space="preserve">Local 11-digit check, no premature tool calls, targeted slot re-prompts.</t>
  </si>
  <si>
    <t xml:space="preserve">Conversational Hygiene</t>
  </si>
  <si>
    <t xml:space="preserve">handoff_done guard, no re-greeting, no leaked variables.</t>
  </si>
  <si>
    <t xml:space="preserve">Missed Pickup - Golden Path</t>
  </si>
  <si>
    <t xml:space="preserve">PASSED in CES. Only the past-dated next-pickup lets it down.</t>
  </si>
  <si>
    <t xml:space="preserve">Branch Discrimination</t>
  </si>
  <si>
    <t xml:space="preserve">S-07 to S-10</t>
  </si>
  <si>
    <t xml:space="preserve">All four branches failed. All four causes are backend, not prompt.</t>
  </si>
  <si>
    <t xml:space="preserve">Date Guard Rails</t>
  </si>
  <si>
    <t xml:space="preserve">S-12, S-13, S-14</t>
  </si>
  <si>
    <t xml:space="preserve">The prompt is ready. The backend has no reason codes and no weekend logic.</t>
  </si>
  <si>
    <t xml:space="preserve">Reschedule Execution</t>
  </si>
  <si>
    <t xml:space="preserve">Blocked entirely by the D-01 contract mismatch.</t>
  </si>
  <si>
    <t xml:space="preserve">Context Retention</t>
  </si>
  <si>
    <t xml:space="preserve">S-11, S-15</t>
  </si>
  <si>
    <t xml:space="preserve">Design is right; waste_type is demonstrably not arriving (D-12).</t>
  </si>
  <si>
    <t xml:space="preserve">Registration &amp; Termination</t>
  </si>
  <si>
    <t xml:space="preserve">The 409 loop. Terminal end_session is correctly specified.</t>
  </si>
  <si>
    <t xml:space="preserve">Data Integrity</t>
  </si>
  <si>
    <t xml:space="preserve">S-17, S-18</t>
  </si>
  <si>
    <t xml:space="preserve">Duplicate account blocked. Duplicate complaint prevented in the prompt but not the data layer.</t>
  </si>
  <si>
    <t xml:space="preserve">Escalation</t>
  </si>
  <si>
    <t xml:space="preserve">Every agent has a clean human_request path with no retry loops.</t>
  </si>
  <si>
    <t xml:space="preserve">Security &amp; Scope</t>
  </si>
  <si>
    <t xml:space="preserve">PASSED. Injection ladders in all four agents.</t>
  </si>
  <si>
    <t xml:space="preserve">Hallucination Prevention</t>
  </si>
  <si>
    <t xml:space="preserve">'Never speak a value a tool did not return' appears in every prompt.</t>
  </si>
  <si>
    <t xml:space="preserve">Backend Robustness</t>
  </si>
  <si>
    <t xml:space="preserve">20 defects, 5 Critical. This is where the project loses its marks.</t>
  </si>
  <si>
    <t xml:space="preserve">OVERALL</t>
  </si>
  <si>
    <t xml:space="preserve">The story this workbook tells: the agent design is strong and the backend is not. Of the 57 expectations, the ones predicted to fail are almost all blocked by a backend defect the prompt has no way to work around. Fix D-01 through D-06 and the same prompts, unchanged, should carry most of these to green. That is the finding worth writing up.</t>
  </si>
  <si>
    <t xml:space="preserve">Fix Pack - paste-ready changes, in the order that unblocks the most scenarios</t>
  </si>
  <si>
    <t xml:space="preserve">Five backend edits and two prompt edits. Nothing else in the system needs to change.</t>
  </si>
  <si>
    <t xml:space="preserve">FIX 1 (D-01, D-02) - validateRescheduleDate: add reason codes + weekend logic. Unblocks S-11, S-12, S-13, S-15.</t>
  </si>
  <si>
    <t xml:space="preserve">Your Reschedule Agent already branches on reason='PAST_DATE' and reason='WEEKEND' and speaks requestedDay / suggestedDay / suggestedDate. The backend sends none of them. This makes the backend match the prompt - the prompt does not change.</t>
  </si>
  <si>
    <t xml:space="preserve">def validate_reschedule_date(request):</t>
  </si>
  <si>
    <t xml:space="preserve">    request_json = request.get_json(silent=True)</t>
  </si>
  <si>
    <t xml:space="preserve">    if not request_json:</t>
  </si>
  <si>
    <t xml:space="preserve">        return jsonify({'success': False, 'message': 'Request body missing'}), 200</t>
  </si>
  <si>
    <t xml:space="preserve">    new_date = request_json.get('newPickupDate')</t>
  </si>
  <si>
    <t xml:space="preserve">    if not new_date:</t>
  </si>
  <si>
    <t xml:space="preserve">        return jsonify({'success': False, 'message': 'newPickupDate is required'}), 200</t>
  </si>
  <si>
    <t xml:space="preserve">    try:</t>
  </si>
  <si>
    <t xml:space="preserve">        new_date = datetime.strptime(new_date, '%Y-%m-%d').date()</t>
  </si>
  <si>
    <t xml:space="preserve">    except ValueError:</t>
  </si>
  <si>
    <t xml:space="preserve">        return jsonify({'success': False, 'message': 'Invalid date format. Use YYYY-MM-DD'}), 200</t>
  </si>
  <si>
    <t xml:space="preserve">    today = datetime.today().date()</t>
  </si>
  <si>
    <t xml:space="preserve">    # PAST_DATE</t>
  </si>
  <si>
    <t xml:space="preserve">    if new_date &lt;= today:</t>
  </si>
  <si>
    <t xml:space="preserve">        return jsonify({</t>
  </si>
  <si>
    <t xml:space="preserve">            'success': True, 'isValid': False, 'reason': 'PAST_DATE',</t>
  </si>
  <si>
    <t xml:space="preserve">            'requestedDay': new_date.strftime('%A'),</t>
  </si>
  <si>
    <t xml:space="preserve">            'message': 'Pickup date must be in the future.'</t>
  </si>
  <si>
    <t xml:space="preserve">        }), 200</t>
  </si>
  <si>
    <t xml:space="preserve">    # WEEKEND  -&gt; suggest the next business day FROM THE REQUESTED DATE</t>
  </si>
  <si>
    <t xml:space="preserve">    if new_date.weekday() &gt;= 5:</t>
  </si>
  <si>
    <t xml:space="preserve">        suggested = new_date + timedelta(days=1)</t>
  </si>
  <si>
    <t xml:space="preserve">        while suggested.weekday() &gt;= 5:</t>
  </si>
  <si>
    <t xml:space="preserve">            suggested += timedelta(days=1)</t>
  </si>
  <si>
    <t xml:space="preserve">            'success': True, 'isValid': False, 'reason': 'WEEKEND',</t>
  </si>
  <si>
    <t xml:space="preserve">            'suggestedDay': suggested.strftime('%A'),</t>
  </si>
  <si>
    <t xml:space="preserve">            'suggestedDate': str(suggested),</t>
  </si>
  <si>
    <t xml:space="preserve">            'message': 'We do not collect on weekends.'</t>
  </si>
  <si>
    <t xml:space="preserve">    return jsonify({</t>
  </si>
  <si>
    <t xml:space="preserve">        'success': True, 'isValid': True, 'validatedDate': str(new_date)</t>
  </si>
  <si>
    <t xml:space="preserve">    }), 200</t>
  </si>
  <si>
    <t xml:space="preserve">FIX 2 (D-03) - break the registerCustomer 409 loop. Unblocks S-16.</t>
  </si>
  <si>
    <t xml:space="preserve">PROMPT CHANGE, Authentication Agent, the Register step. Replace the 409 line.</t>
  </si>
  <si>
    <t xml:space="preserve">BEFORE:  "Customer already exists" (409) -&gt; Say: "It looks like an account already exists with this phone number." -&gt; go to Check for Existing Account.</t>
  </si>
  <si>
    <t xml:space="preserve">AFTER:   "Customer already exists" (409) -&gt; Say: "It looks like an account already exists with this phone number." Ask: "Would you like to continue with that existing account?" Yes -&gt; set ${customer_type} = "Existing" and go to Existing Customer Verification. No -&gt; Hand to {@AGENT: Escalation Agent}. NEVER go back to Check for Existing Account, and NEVER call registerCustomer again.</t>
  </si>
  <si>
    <t xml:space="preserve">Why: Check for Existing Account calls validateCustomer, which already returned success:false - which is why registration was attempted. It falls straight back through to Register, gets another 409, and loops until the turn limit.</t>
  </si>
  <si>
    <t xml:space="preserve">FIX 3 (D-04, D-05) - roll the date tools forward past today. Unblocks S-06, S-07, S-08.</t>
  </si>
  <si>
    <t xml:space="preserve">In getNextSchedulePickupDate, replace the blind +7:</t>
  </si>
  <si>
    <t xml:space="preserve">    # BEFORE:  next_pickup = service_date + timedelta(days=7)</t>
  </si>
  <si>
    <t xml:space="preserve">    next_pickup = service_date + timedelta(days=7)</t>
  </si>
  <si>
    <t xml:space="preserve">    today = date.today()</t>
  </si>
  <si>
    <t xml:space="preserve">    while next_pickup &lt;= today:</t>
  </si>
  <si>
    <t xml:space="preserve">        next_pickup += timedelta(days=7)</t>
  </si>
  <si>
    <t xml:space="preserve">    while next_pickup.weekday() &gt;= 5:</t>
  </si>
  <si>
    <t xml:space="preserve">        next_pickup += timedelta(days=1)</t>
  </si>
  <si>
    <t xml:space="preserve">In get_next_business_day, base it on today, not on a possibly-past Service Date:</t>
  </si>
  <si>
    <t xml:space="preserve">    # BEFORE:  next_business_day = service_date + timedelta(days=1)</t>
  </si>
  <si>
    <t xml:space="preserve">    start = max(service_date, date.today())</t>
  </si>
  <si>
    <t xml:space="preserve">    next_business_day = start + timedelta(days=1)</t>
  </si>
  <si>
    <t xml:space="preserve">    while next_business_day.weekday() &gt;= 5:</t>
  </si>
  <si>
    <t xml:space="preserve">        next_business_day += timedelta(days=1)</t>
  </si>
  <si>
    <t xml:space="preserve">FIX 4 (D-06) - one fuzzy threshold, one match function. Unblocks S-09 and stops mid-flow 'Customer not found'.</t>
  </si>
  <si>
    <t xml:space="preserve">Right now validateCustomer accepts fuzz.ratio &gt;= 85, and the other seven tools demand token_set_ratio &gt;= 90 against the raw DB string. An address that authenticates can be rejected by the very next tool. Add this helper and use it everywhere:</t>
  </si>
  <si>
    <t xml:space="preserve">def address_matches(user_address, db_address, threshold=85):</t>
  </si>
  <si>
    <t xml:space="preserve">    u = normalize_address(user_address)</t>
  </si>
  <si>
    <t xml:space="preserve">    d = normalize_address(db_address)</t>
  </si>
  <si>
    <t xml:space="preserve">    up, dp = u.split(), d.split()</t>
  </si>
  <si>
    <t xml:space="preserve">    if up and dp and up[0] != dp[0]:   # house number must match exactly</t>
  </si>
  <si>
    <t xml:space="preserve">        return False</t>
  </si>
  <si>
    <t xml:space="preserve">    return fuzz.token_set_ratio(u, d) &gt;= threshold</t>
  </si>
  <si>
    <t xml:space="preserve">Then replace every 'similarity = fuzz.token_set_ratio(...) ... &gt;= 90' block with: if db_phone == phone and address_matches(address, row['Full Address']):</t>
  </si>
  <si>
    <t xml:space="preserve">Better still: have validateCustomer return the DB-canonical `Full Address`, and have the Authentication Agent store THAT as ${validated_address}. Then every downstream tool is comparing the DB value against itself and the fuzzy match can never fail.</t>
  </si>
  <si>
    <t xml:space="preserve">FIX 5 (D-07) - make registerMissedPickupComplaint idempotent. Hardens S-18.</t>
  </si>
  <si>
    <t xml:space="preserve">Insert this before the uuid is generated:</t>
  </si>
  <si>
    <t xml:space="preserve">    existing = client.query('''</t>
  </si>
  <si>
    <t xml:space="preserve">        SELECT `Complaint ID`, `Complaint Date`</t>
  </si>
  <si>
    <t xml:space="preserve">        FROM `exlservic-...environment_services_table`</t>
  </si>
  <si>
    <t xml:space="preserve">        WHERE `Phone Number` = @phone AND `Full Address` = @matchedAddress</t>
  </si>
  <si>
    <t xml:space="preserve">          AND `Complaint ID` IS NOT NULL</t>
  </si>
  <si>
    <t xml:space="preserve">          AND `Complaint Date` = @today</t>
  </si>
  <si>
    <t xml:space="preserve">    ''', job_config=...).result()</t>
  </si>
  <si>
    <t xml:space="preserve">    for row in existing:</t>
  </si>
  <si>
    <t xml:space="preserve">            'success': True,</t>
  </si>
  <si>
    <t xml:space="preserve">            'complaintId': row['Complaint ID'],</t>
  </si>
  <si>
    <t xml:space="preserve">            'complaintDate': row['Complaint Date'],</t>
  </si>
  <si>
    <t xml:space="preserve">            'message': 'A complaint is already registered for today.'</t>
  </si>
  <si>
    <t xml:space="preserve">Your Missed Pickup Agent constraint 10 already prevents the double call, so S-18 may pass without this. Fix it anyway - the prompt should not be the only thing protecting your data.</t>
  </si>
  <si>
    <t xml:space="preserve">FIX 6 (D-12) - get waste_type to the Missed Pickup Agent. Unblocks S-10 (failed 5/5).</t>
  </si>
  <si>
    <t xml:space="preserve">The prompt is already right: Missed Pickup constraint 2 sources ${waste_type} from the Auth handoff, and Post-Authentication Handoff lists waste_type in the carried params. It is still not arriving.</t>
  </si>
  <si>
    <t xml:space="preserve">Check, in this order:  (1) is `waste_type` declared as a session parameter in the CES app, not just written in the prompt text?  (2) does validateCustomer's Open API response schema actually expose data["Waste Type"] - a field with a SPACE in the key is a common place for a schema to silently drop it?  (3) log the session params on entry to the Missed Pickup Agent and confirm the value is there.</t>
  </si>
  <si>
    <t xml:space="preserve">Quick workaround if the schema is the problem: add `Waste Type` to the checkServiceStatus SELECT and return it as wasteType. Then the Missed Pickup Agent gets it from a tool it already calls.</t>
  </si>
  <si>
    <t xml:space="preserve">FIX 7 (D-10, D-11) - two small cleanups before you demo.</t>
  </si>
  <si>
    <t xml:space="preserve">1. Delete the AuthenticateCustomer tool from the CES canvas. No prompt calls it and there is no /AuthenticateCustomer route - it returns 'Invalid endpoint'.</t>
  </si>
  <si>
    <t xml:space="preserve">2. Make validateAddress and registerCustomer return HTTP 200 with success:false, like the other ten routes. CES treats a 400/409 as a TOOL ERROR, which fires the agent's backend_failure fallback and escalates instead of speaking the business outcome.</t>
  </si>
  <si>
    <t xml:space="preserve">Before you re-run the evaluation</t>
  </si>
  <si>
    <t xml:space="preserve">Delete persona G (19725557645, William Chen) from BigQuery. If that row survives from a previous run, S-16 hits the 409 path every time and you will be debugging the wrong thing.</t>
  </si>
  <si>
    <t xml:space="preserve">Then run S-06 first. It is the golden path - if it fails, everything downstream in Batch 2 fails for the same reason and you will waste 19 runs finding out.</t>
  </si>
</sst>
</file>

<file path=xl/styles.xml><?xml version="1.0" encoding="utf-8"?>
<styleSheet xmlns="http://schemas.openxmlformats.org/spreadsheetml/2006/main">
  <numFmts count="2">
    <numFmt numFmtId="164" formatCode="General"/>
    <numFmt numFmtId="165"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4E79"/>
      <name val="Arial"/>
      <family val="0"/>
      <charset val="1"/>
    </font>
    <font>
      <i val="true"/>
      <sz val="10"/>
      <name val="Arial"/>
      <family val="0"/>
      <charset val="1"/>
    </font>
    <font>
      <sz val="10"/>
      <name val="Arial"/>
      <family val="0"/>
      <charset val="1"/>
    </font>
    <font>
      <b val="true"/>
      <sz val="12"/>
      <color rgb="FFC00000"/>
      <name val="Arial"/>
      <family val="0"/>
      <charset val="1"/>
    </font>
    <font>
      <b val="true"/>
      <sz val="11"/>
      <color rgb="FFFFFFFF"/>
      <name val="Arial"/>
      <family val="0"/>
      <charset val="1"/>
    </font>
    <font>
      <b val="true"/>
      <sz val="10"/>
      <name val="Arial"/>
      <family val="0"/>
      <charset val="1"/>
    </font>
    <font>
      <sz val="10"/>
      <color rgb="FF0000FF"/>
      <name val="Arial"/>
      <family val="0"/>
      <charset val="1"/>
    </font>
    <font>
      <b val="true"/>
      <sz val="11"/>
      <color rgb="FFC00000"/>
      <name val="Arial"/>
      <family val="0"/>
      <charset val="1"/>
    </font>
    <font>
      <i val="true"/>
      <sz val="9"/>
      <name val="Arial"/>
      <family val="0"/>
      <charset val="1"/>
    </font>
    <font>
      <b val="true"/>
      <sz val="11"/>
      <name val="Arial"/>
      <family val="0"/>
      <charset val="1"/>
    </font>
    <font>
      <b val="true"/>
      <sz val="12"/>
      <name val="Arial"/>
      <family val="0"/>
      <charset val="1"/>
    </font>
    <font>
      <sz val="9"/>
      <name val="Consolas"/>
      <family val="0"/>
      <charset val="1"/>
    </font>
  </fonts>
  <fills count="9">
    <fill>
      <patternFill patternType="none"/>
    </fill>
    <fill>
      <patternFill patternType="gray125"/>
    </fill>
    <fill>
      <patternFill patternType="solid">
        <fgColor rgb="FF1F4E79"/>
        <bgColor rgb="FF003366"/>
      </patternFill>
    </fill>
    <fill>
      <patternFill patternType="solid">
        <fgColor rgb="FFDDEBF7"/>
        <bgColor rgb="FFF2F2F2"/>
      </patternFill>
    </fill>
    <fill>
      <patternFill patternType="solid">
        <fgColor rgb="FFFFC7CE"/>
        <bgColor rgb="FFFFEB9C"/>
      </patternFill>
    </fill>
    <fill>
      <patternFill patternType="solid">
        <fgColor rgb="FFFFFF00"/>
        <bgColor rgb="FFFFFF00"/>
      </patternFill>
    </fill>
    <fill>
      <patternFill patternType="solid">
        <fgColor rgb="FFFFEB9C"/>
        <bgColor rgb="FFF2F2F2"/>
      </patternFill>
    </fill>
    <fill>
      <patternFill patternType="solid">
        <fgColor rgb="FFC6EFCE"/>
        <bgColor rgb="FFDDEBF7"/>
      </patternFill>
    </fill>
    <fill>
      <patternFill patternType="solid">
        <fgColor rgb="FFF2F2F2"/>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4" fontId="9" fillId="7"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5" fillId="8"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9"/>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FFF00"/>
          <bgColor rgb="FF000000"/>
        </patternFill>
      </fill>
    </dxf>
    <dxf>
      <fill>
        <patternFill patternType="solid">
          <fgColor rgb="FFC6EFCE"/>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50"/>
  </cols>
  <sheetData>
    <row r="1" customFormat="false" ht="19.5" hidden="false" customHeight="true" outlineLevel="0" collapsed="false">
      <c r="B1" s="1" t="s">
        <v>0</v>
      </c>
    </row>
    <row r="2" customFormat="false" ht="30" hidden="false" customHeight="true" outlineLevel="0" collapsed="false">
      <c r="B2" s="2" t="s">
        <v>1</v>
      </c>
    </row>
    <row r="3" customFormat="false" ht="19.5" hidden="false" customHeight="true" outlineLevel="0" collapsed="false">
      <c r="B3" s="3"/>
    </row>
    <row r="4" customFormat="false" ht="19.5" hidden="false" customHeight="true" outlineLevel="0" collapsed="false">
      <c r="B4" s="4" t="s">
        <v>2</v>
      </c>
    </row>
    <row r="5" customFormat="false" ht="30" hidden="false" customHeight="true" outlineLevel="0" collapsed="false">
      <c r="B5" s="3" t="s">
        <v>3</v>
      </c>
    </row>
    <row r="6" customFormat="false" ht="30" hidden="false" customHeight="true" outlineLevel="0" collapsed="false">
      <c r="B6" s="3" t="s">
        <v>4</v>
      </c>
    </row>
    <row r="7" customFormat="false" ht="30" hidden="false" customHeight="true" outlineLevel="0" collapsed="false">
      <c r="B7" s="3" t="s">
        <v>5</v>
      </c>
    </row>
    <row r="8" customFormat="false" ht="30" hidden="false" customHeight="true" outlineLevel="0" collapsed="false">
      <c r="B8" s="3" t="s">
        <v>6</v>
      </c>
    </row>
    <row r="9" customFormat="false" ht="19.5" hidden="false" customHeight="true" outlineLevel="0" collapsed="false">
      <c r="B9" s="3"/>
    </row>
    <row r="10" customFormat="false" ht="19.5" hidden="false" customHeight="true" outlineLevel="0" collapsed="false">
      <c r="B10" s="4" t="s">
        <v>7</v>
      </c>
    </row>
    <row r="11" customFormat="false" ht="30" hidden="false" customHeight="true" outlineLevel="0" collapsed="false">
      <c r="B11" s="3" t="s">
        <v>8</v>
      </c>
    </row>
    <row r="12" customFormat="false" ht="19.5" hidden="false" customHeight="true" outlineLevel="0" collapsed="false">
      <c r="B12" s="3"/>
    </row>
    <row r="13" customFormat="false" ht="19.5" hidden="false" customHeight="true" outlineLevel="0" collapsed="false">
      <c r="B13" s="4" t="s">
        <v>9</v>
      </c>
    </row>
    <row r="14" customFormat="false" ht="30" hidden="false" customHeight="true" outlineLevel="0" collapsed="false">
      <c r="B14" s="3" t="s">
        <v>10</v>
      </c>
    </row>
    <row r="15" customFormat="false" ht="19.5" hidden="false" customHeight="true" outlineLevel="0" collapsed="false">
      <c r="B15" s="3"/>
    </row>
    <row r="16" customFormat="false" ht="19.5" hidden="false" customHeight="true" outlineLevel="0" collapsed="false">
      <c r="B16" s="4" t="s">
        <v>11</v>
      </c>
    </row>
    <row r="17" customFormat="false" ht="30" hidden="false" customHeight="true" outlineLevel="0" collapsed="false">
      <c r="B17" s="3" t="s">
        <v>12</v>
      </c>
    </row>
    <row r="18" customFormat="false" ht="30" hidden="false" customHeight="true" outlineLevel="0" collapsed="false">
      <c r="B18" s="3" t="s">
        <v>13</v>
      </c>
    </row>
    <row r="19" customFormat="false" ht="30" hidden="false" customHeight="true" outlineLevel="0" collapsed="false">
      <c r="B19" s="3" t="s">
        <v>14</v>
      </c>
    </row>
    <row r="20" customFormat="false" ht="30" hidden="false" customHeight="true" outlineLevel="0" collapsed="false">
      <c r="B20" s="3" t="s">
        <v>15</v>
      </c>
    </row>
    <row r="21" customFormat="false" ht="30" hidden="false" customHeight="true" outlineLevel="0" collapsed="false">
      <c r="B21" s="3" t="s">
        <v>16</v>
      </c>
    </row>
    <row r="22" customFormat="false" ht="30" hidden="false" customHeight="true" outlineLevel="0" collapsed="false">
      <c r="B22" s="3" t="s">
        <v>17</v>
      </c>
    </row>
    <row r="23" customFormat="false" ht="30" hidden="false" customHeight="true" outlineLevel="0" collapsed="false">
      <c r="B23" s="3" t="s">
        <v>18</v>
      </c>
    </row>
    <row r="24" customFormat="false" ht="30" hidden="false" customHeight="true" outlineLevel="0" collapsed="false">
      <c r="B24" s="3" t="s">
        <v>19</v>
      </c>
    </row>
    <row r="25" customFormat="false" ht="19.5" hidden="false" customHeight="true" outlineLevel="0" collapsed="false">
      <c r="B25" s="3"/>
    </row>
    <row r="26" customFormat="false" ht="19.5" hidden="false" customHeight="true" outlineLevel="0" collapsed="false">
      <c r="B26" s="4" t="s">
        <v>20</v>
      </c>
    </row>
    <row r="27" customFormat="false" ht="30" hidden="false" customHeight="true" outlineLevel="0" collapsed="false">
      <c r="B27" s="3" t="s">
        <v>21</v>
      </c>
    </row>
    <row r="28" customFormat="false" ht="30" hidden="false" customHeight="true" outlineLevel="0" collapsed="false">
      <c r="B28" s="3" t="s">
        <v>22</v>
      </c>
    </row>
    <row r="29" customFormat="false" ht="30" hidden="false" customHeight="true" outlineLevel="0" collapsed="false">
      <c r="B29" s="3" t="s">
        <v>23</v>
      </c>
    </row>
    <row r="30" customFormat="false" ht="30" hidden="false" customHeight="true" outlineLevel="0" collapsed="false">
      <c r="B30" s="3" t="s">
        <v>24</v>
      </c>
    </row>
    <row r="31" customFormat="false" ht="30" hidden="false" customHeight="true" outlineLevel="0" collapsed="false">
      <c r="B31" s="3"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6"/>
    <col collapsed="false" customWidth="true" hidden="false" outlineLevel="0" max="4" min="4" style="0" width="26"/>
    <col collapsed="false" customWidth="true" hidden="false" outlineLevel="0" max="5" min="5" style="0" width="20"/>
    <col collapsed="false" customWidth="true" hidden="false" outlineLevel="0" max="6" min="6" style="0" width="58"/>
    <col collapsed="false" customWidth="true" hidden="false" outlineLevel="0" max="7" min="7" style="0" width="74"/>
    <col collapsed="false" customWidth="true" hidden="false" outlineLevel="0" max="8" min="8" style="0" width="30"/>
    <col collapsed="false" customWidth="true" hidden="false" outlineLevel="0" max="9" min="9" style="0" width="58"/>
    <col collapsed="false" customWidth="true" hidden="false" outlineLevel="0" max="10" min="10" style="0" width="9"/>
  </cols>
  <sheetData>
    <row r="1" customFormat="false" ht="31.5" hidden="false" customHeight="true" outlineLevel="0" collapsed="false">
      <c r="A1" s="5" t="s">
        <v>26</v>
      </c>
      <c r="B1" s="5" t="s">
        <v>27</v>
      </c>
      <c r="C1" s="5" t="s">
        <v>28</v>
      </c>
      <c r="D1" s="5" t="s">
        <v>29</v>
      </c>
      <c r="E1" s="5" t="s">
        <v>30</v>
      </c>
      <c r="F1" s="5" t="s">
        <v>31</v>
      </c>
      <c r="G1" s="5" t="s">
        <v>32</v>
      </c>
      <c r="H1" s="5" t="s">
        <v>33</v>
      </c>
      <c r="I1" s="5" t="s">
        <v>34</v>
      </c>
      <c r="J1" s="5" t="s">
        <v>35</v>
      </c>
    </row>
    <row r="2" customFormat="false" ht="46.25" hidden="false" customHeight="false" outlineLevel="0" collapsed="false">
      <c r="A2" s="6" t="s">
        <v>36</v>
      </c>
      <c r="B2" s="7" t="s">
        <v>37</v>
      </c>
      <c r="C2" s="6" t="s">
        <v>38</v>
      </c>
      <c r="D2" s="6" t="s">
        <v>39</v>
      </c>
      <c r="E2" s="6" t="s">
        <v>40</v>
      </c>
      <c r="F2" s="8" t="s">
        <v>41</v>
      </c>
      <c r="G2" s="8" t="s">
        <v>42</v>
      </c>
      <c r="H2" s="8" t="s">
        <v>43</v>
      </c>
      <c r="I2" s="8" t="s">
        <v>44</v>
      </c>
      <c r="J2" s="9" t="s">
        <v>45</v>
      </c>
    </row>
    <row r="3" customFormat="false" ht="23.85" hidden="false" customHeight="false" outlineLevel="0" collapsed="false">
      <c r="A3" s="10" t="s">
        <v>46</v>
      </c>
      <c r="B3" s="7" t="s">
        <v>37</v>
      </c>
      <c r="C3" s="10" t="s">
        <v>47</v>
      </c>
      <c r="D3" s="10" t="s">
        <v>39</v>
      </c>
      <c r="E3" s="10" t="s">
        <v>40</v>
      </c>
      <c r="F3" s="11" t="s">
        <v>48</v>
      </c>
      <c r="G3" s="11" t="s">
        <v>49</v>
      </c>
      <c r="H3" s="11" t="s">
        <v>50</v>
      </c>
      <c r="I3" s="11" t="s">
        <v>51</v>
      </c>
      <c r="J3" s="9" t="s">
        <v>45</v>
      </c>
    </row>
    <row r="4" customFormat="false" ht="35.05" hidden="false" customHeight="false" outlineLevel="0" collapsed="false">
      <c r="A4" s="6" t="s">
        <v>52</v>
      </c>
      <c r="B4" s="7" t="s">
        <v>37</v>
      </c>
      <c r="C4" s="6" t="s">
        <v>53</v>
      </c>
      <c r="D4" s="6" t="s">
        <v>54</v>
      </c>
      <c r="E4" s="6" t="s">
        <v>55</v>
      </c>
      <c r="F4" s="8" t="s">
        <v>56</v>
      </c>
      <c r="G4" s="8" t="s">
        <v>57</v>
      </c>
      <c r="H4" s="8" t="s">
        <v>58</v>
      </c>
      <c r="I4" s="8" t="s">
        <v>59</v>
      </c>
      <c r="J4" s="9" t="s">
        <v>45</v>
      </c>
    </row>
    <row r="5" customFormat="false" ht="23.85" hidden="false" customHeight="false" outlineLevel="0" collapsed="false">
      <c r="A5" s="10" t="s">
        <v>60</v>
      </c>
      <c r="B5" s="7" t="s">
        <v>37</v>
      </c>
      <c r="C5" s="10" t="s">
        <v>47</v>
      </c>
      <c r="D5" s="10" t="s">
        <v>61</v>
      </c>
      <c r="E5" s="10" t="s">
        <v>62</v>
      </c>
      <c r="F5" s="11" t="s">
        <v>63</v>
      </c>
      <c r="G5" s="11" t="s">
        <v>64</v>
      </c>
      <c r="H5" s="11" t="s">
        <v>65</v>
      </c>
      <c r="I5" s="11" t="s">
        <v>66</v>
      </c>
      <c r="J5" s="9" t="s">
        <v>45</v>
      </c>
    </row>
    <row r="6" customFormat="false" ht="35.05" hidden="false" customHeight="false" outlineLevel="0" collapsed="false">
      <c r="A6" s="6" t="s">
        <v>67</v>
      </c>
      <c r="B6" s="7" t="s">
        <v>37</v>
      </c>
      <c r="C6" s="6" t="s">
        <v>47</v>
      </c>
      <c r="D6" s="6" t="s">
        <v>68</v>
      </c>
      <c r="E6" s="6" t="s">
        <v>62</v>
      </c>
      <c r="F6" s="8" t="s">
        <v>69</v>
      </c>
      <c r="G6" s="8" t="s">
        <v>70</v>
      </c>
      <c r="H6" s="8" t="s">
        <v>71</v>
      </c>
      <c r="I6" s="8" t="s">
        <v>72</v>
      </c>
      <c r="J6" s="9" t="s">
        <v>45</v>
      </c>
    </row>
    <row r="7" customFormat="false" ht="57.45" hidden="false" customHeight="false" outlineLevel="0" collapsed="false">
      <c r="A7" s="10" t="s">
        <v>73</v>
      </c>
      <c r="B7" s="12" t="s">
        <v>74</v>
      </c>
      <c r="C7" s="10" t="s">
        <v>47</v>
      </c>
      <c r="D7" s="10" t="s">
        <v>75</v>
      </c>
      <c r="E7" s="10" t="s">
        <v>76</v>
      </c>
      <c r="F7" s="11" t="s">
        <v>77</v>
      </c>
      <c r="G7" s="11" t="s">
        <v>78</v>
      </c>
      <c r="H7" s="11" t="s">
        <v>79</v>
      </c>
      <c r="I7" s="11" t="s">
        <v>80</v>
      </c>
      <c r="J7" s="9" t="s">
        <v>45</v>
      </c>
    </row>
    <row r="8" customFormat="false" ht="46.25" hidden="false" customHeight="false" outlineLevel="0" collapsed="false">
      <c r="A8" s="6" t="s">
        <v>81</v>
      </c>
      <c r="B8" s="12" t="s">
        <v>74</v>
      </c>
      <c r="C8" s="6" t="s">
        <v>47</v>
      </c>
      <c r="D8" s="6" t="s">
        <v>82</v>
      </c>
      <c r="E8" s="6" t="s">
        <v>62</v>
      </c>
      <c r="F8" s="8" t="s">
        <v>83</v>
      </c>
      <c r="G8" s="8" t="s">
        <v>84</v>
      </c>
      <c r="H8" s="8" t="s">
        <v>85</v>
      </c>
      <c r="I8" s="8" t="s">
        <v>86</v>
      </c>
      <c r="J8" s="9" t="s">
        <v>45</v>
      </c>
    </row>
    <row r="9" customFormat="false" ht="35.05" hidden="false" customHeight="false" outlineLevel="0" collapsed="false">
      <c r="A9" s="10" t="s">
        <v>87</v>
      </c>
      <c r="B9" s="12" t="s">
        <v>74</v>
      </c>
      <c r="C9" s="10" t="s">
        <v>88</v>
      </c>
      <c r="D9" s="10" t="s">
        <v>89</v>
      </c>
      <c r="E9" s="10" t="s">
        <v>40</v>
      </c>
      <c r="F9" s="11" t="s">
        <v>90</v>
      </c>
      <c r="G9" s="11" t="s">
        <v>91</v>
      </c>
      <c r="H9" s="11" t="s">
        <v>92</v>
      </c>
      <c r="I9" s="11" t="s">
        <v>93</v>
      </c>
      <c r="J9" s="9" t="s">
        <v>45</v>
      </c>
    </row>
    <row r="10" customFormat="false" ht="46.25" hidden="false" customHeight="false" outlineLevel="0" collapsed="false">
      <c r="A10" s="6" t="s">
        <v>94</v>
      </c>
      <c r="B10" s="12" t="s">
        <v>74</v>
      </c>
      <c r="C10" s="6" t="s">
        <v>95</v>
      </c>
      <c r="D10" s="6" t="s">
        <v>96</v>
      </c>
      <c r="E10" s="6" t="s">
        <v>76</v>
      </c>
      <c r="F10" s="8" t="s">
        <v>97</v>
      </c>
      <c r="G10" s="8" t="s">
        <v>98</v>
      </c>
      <c r="H10" s="8" t="s">
        <v>99</v>
      </c>
      <c r="I10" s="8" t="s">
        <v>100</v>
      </c>
      <c r="J10" s="9" t="s">
        <v>45</v>
      </c>
    </row>
    <row r="11" customFormat="false" ht="46.25" hidden="false" customHeight="false" outlineLevel="0" collapsed="false">
      <c r="A11" s="10" t="s">
        <v>101</v>
      </c>
      <c r="B11" s="12" t="s">
        <v>74</v>
      </c>
      <c r="C11" s="10" t="s">
        <v>102</v>
      </c>
      <c r="D11" s="10" t="s">
        <v>103</v>
      </c>
      <c r="E11" s="10" t="s">
        <v>55</v>
      </c>
      <c r="F11" s="11" t="s">
        <v>104</v>
      </c>
      <c r="G11" s="11" t="s">
        <v>105</v>
      </c>
      <c r="H11" s="11" t="s">
        <v>106</v>
      </c>
      <c r="I11" s="11" t="s">
        <v>107</v>
      </c>
      <c r="J11" s="9" t="s">
        <v>45</v>
      </c>
    </row>
    <row r="12" customFormat="false" ht="35.05" hidden="false" customHeight="false" outlineLevel="0" collapsed="false">
      <c r="A12" s="6" t="s">
        <v>108</v>
      </c>
      <c r="B12" s="12" t="s">
        <v>74</v>
      </c>
      <c r="C12" s="6" t="s">
        <v>109</v>
      </c>
      <c r="D12" s="6" t="s">
        <v>110</v>
      </c>
      <c r="E12" s="6" t="s">
        <v>111</v>
      </c>
      <c r="F12" s="8" t="s">
        <v>112</v>
      </c>
      <c r="G12" s="8" t="s">
        <v>113</v>
      </c>
      <c r="H12" s="8" t="s">
        <v>114</v>
      </c>
      <c r="I12" s="8" t="s">
        <v>115</v>
      </c>
      <c r="J12" s="9" t="s">
        <v>45</v>
      </c>
    </row>
    <row r="13" customFormat="false" ht="35.05" hidden="false" customHeight="false" outlineLevel="0" collapsed="false">
      <c r="A13" s="10" t="s">
        <v>116</v>
      </c>
      <c r="B13" s="12" t="s">
        <v>74</v>
      </c>
      <c r="C13" s="10" t="s">
        <v>117</v>
      </c>
      <c r="D13" s="10" t="s">
        <v>118</v>
      </c>
      <c r="E13" s="10" t="s">
        <v>62</v>
      </c>
      <c r="F13" s="11" t="s">
        <v>119</v>
      </c>
      <c r="G13" s="11" t="s">
        <v>120</v>
      </c>
      <c r="H13" s="11" t="s">
        <v>121</v>
      </c>
      <c r="I13" s="11" t="s">
        <v>122</v>
      </c>
      <c r="J13" s="9" t="s">
        <v>45</v>
      </c>
    </row>
    <row r="14" customFormat="false" ht="23.85" hidden="false" customHeight="false" outlineLevel="0" collapsed="false">
      <c r="A14" s="6" t="s">
        <v>123</v>
      </c>
      <c r="B14" s="13" t="s">
        <v>124</v>
      </c>
      <c r="C14" s="6" t="s">
        <v>125</v>
      </c>
      <c r="D14" s="6" t="s">
        <v>68</v>
      </c>
      <c r="E14" s="6" t="s">
        <v>62</v>
      </c>
      <c r="F14" s="8" t="s">
        <v>126</v>
      </c>
      <c r="G14" s="8" t="s">
        <v>127</v>
      </c>
      <c r="H14" s="8" t="s">
        <v>128</v>
      </c>
      <c r="I14" s="8" t="s">
        <v>129</v>
      </c>
      <c r="J14" s="9" t="s">
        <v>45</v>
      </c>
    </row>
    <row r="15" customFormat="false" ht="23.85" hidden="false" customHeight="false" outlineLevel="0" collapsed="false">
      <c r="A15" s="10" t="s">
        <v>130</v>
      </c>
      <c r="B15" s="13" t="s">
        <v>124</v>
      </c>
      <c r="C15" s="10" t="s">
        <v>131</v>
      </c>
      <c r="D15" s="10" t="s">
        <v>61</v>
      </c>
      <c r="E15" s="10" t="s">
        <v>62</v>
      </c>
      <c r="F15" s="11" t="s">
        <v>132</v>
      </c>
      <c r="G15" s="11" t="s">
        <v>133</v>
      </c>
      <c r="H15" s="11" t="s">
        <v>134</v>
      </c>
      <c r="I15" s="11" t="s">
        <v>135</v>
      </c>
      <c r="J15" s="9" t="s">
        <v>45</v>
      </c>
    </row>
    <row r="16" customFormat="false" ht="23.85" hidden="false" customHeight="false" outlineLevel="0" collapsed="false">
      <c r="A16" s="6" t="s">
        <v>136</v>
      </c>
      <c r="B16" s="13" t="s">
        <v>124</v>
      </c>
      <c r="C16" s="6" t="s">
        <v>137</v>
      </c>
      <c r="D16" s="6" t="s">
        <v>54</v>
      </c>
      <c r="E16" s="6" t="s">
        <v>55</v>
      </c>
      <c r="F16" s="8" t="s">
        <v>128</v>
      </c>
      <c r="G16" s="8" t="s">
        <v>138</v>
      </c>
      <c r="H16" s="8" t="s">
        <v>139</v>
      </c>
      <c r="I16" s="8" t="s">
        <v>140</v>
      </c>
      <c r="J16" s="9" t="s">
        <v>45</v>
      </c>
    </row>
    <row r="17" customFormat="false" ht="23.85" hidden="false" customHeight="false" outlineLevel="0" collapsed="false">
      <c r="A17" s="10" t="s">
        <v>141</v>
      </c>
      <c r="B17" s="13" t="s">
        <v>124</v>
      </c>
      <c r="C17" s="10" t="s">
        <v>137</v>
      </c>
      <c r="D17" s="10" t="s">
        <v>54</v>
      </c>
      <c r="E17" s="10" t="s">
        <v>55</v>
      </c>
      <c r="F17" s="11" t="s">
        <v>142</v>
      </c>
      <c r="G17" s="11" t="s">
        <v>143</v>
      </c>
      <c r="H17" s="11" t="s">
        <v>144</v>
      </c>
      <c r="I17" s="11" t="s">
        <v>145</v>
      </c>
      <c r="J17" s="9" t="s">
        <v>45</v>
      </c>
    </row>
    <row r="18" customFormat="false" ht="35.05" hidden="false" customHeight="false" outlineLevel="0" collapsed="false">
      <c r="A18" s="6" t="s">
        <v>146</v>
      </c>
      <c r="B18" s="13" t="s">
        <v>124</v>
      </c>
      <c r="C18" s="6" t="s">
        <v>137</v>
      </c>
      <c r="D18" s="6" t="s">
        <v>54</v>
      </c>
      <c r="E18" s="6" t="s">
        <v>55</v>
      </c>
      <c r="F18" s="8" t="s">
        <v>147</v>
      </c>
      <c r="G18" s="8" t="s">
        <v>148</v>
      </c>
      <c r="H18" s="8" t="s">
        <v>149</v>
      </c>
      <c r="I18" s="8" t="s">
        <v>150</v>
      </c>
      <c r="J18" s="9" t="s">
        <v>45</v>
      </c>
    </row>
    <row r="19" customFormat="false" ht="23.85" hidden="false" customHeight="false" outlineLevel="0" collapsed="false">
      <c r="A19" s="10" t="s">
        <v>151</v>
      </c>
      <c r="B19" s="13" t="s">
        <v>124</v>
      </c>
      <c r="C19" s="10" t="s">
        <v>152</v>
      </c>
      <c r="D19" s="10" t="s">
        <v>54</v>
      </c>
      <c r="E19" s="10" t="s">
        <v>128</v>
      </c>
      <c r="F19" s="11" t="s">
        <v>128</v>
      </c>
      <c r="G19" s="11" t="s">
        <v>153</v>
      </c>
      <c r="H19" s="11" t="s">
        <v>128</v>
      </c>
      <c r="I19" s="11" t="s">
        <v>154</v>
      </c>
      <c r="J19" s="9" t="s">
        <v>45</v>
      </c>
    </row>
    <row r="20" customFormat="false" ht="23.85" hidden="false" customHeight="false" outlineLevel="0" collapsed="false">
      <c r="A20" s="6" t="s">
        <v>155</v>
      </c>
      <c r="B20" s="13" t="s">
        <v>124</v>
      </c>
      <c r="C20" s="6" t="s">
        <v>156</v>
      </c>
      <c r="D20" s="6" t="s">
        <v>157</v>
      </c>
      <c r="E20" s="6" t="s">
        <v>128</v>
      </c>
      <c r="F20" s="8" t="s">
        <v>128</v>
      </c>
      <c r="G20" s="8" t="s">
        <v>158</v>
      </c>
      <c r="H20" s="8" t="s">
        <v>128</v>
      </c>
      <c r="I20" s="8" t="s">
        <v>159</v>
      </c>
      <c r="J20" s="9" t="s">
        <v>45</v>
      </c>
    </row>
    <row r="21" customFormat="false" ht="23.85" hidden="false" customHeight="false" outlineLevel="0" collapsed="false">
      <c r="A21" s="10" t="s">
        <v>160</v>
      </c>
      <c r="B21" s="13" t="s">
        <v>161</v>
      </c>
      <c r="C21" s="10" t="s">
        <v>47</v>
      </c>
      <c r="D21" s="10" t="s">
        <v>162</v>
      </c>
      <c r="E21" s="10" t="s">
        <v>40</v>
      </c>
      <c r="F21" s="11" t="s">
        <v>163</v>
      </c>
      <c r="G21" s="11" t="s">
        <v>164</v>
      </c>
      <c r="H21" s="11" t="s">
        <v>165</v>
      </c>
      <c r="I21" s="11" t="s">
        <v>166</v>
      </c>
      <c r="J21" s="9" t="s">
        <v>45</v>
      </c>
    </row>
  </sheetData>
  <autoFilter ref="A1:J21"/>
  <dataValidations count="1">
    <dataValidation allowBlank="true" errorStyle="stop" operator="between" showDropDown="false" showErrorMessage="false" showInputMessage="false" sqref="J2:J21" type="list">
      <formula1>"Open,Fixed,Verified,Won't Fix"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56"/>
    <col collapsed="false" customWidth="true" hidden="false" outlineLevel="0" max="4" min="4" style="0" width="52"/>
    <col collapsed="false" customWidth="true" hidden="false" outlineLevel="0" max="5" min="5" style="0" width="12"/>
    <col collapsed="false" customWidth="true" hidden="false" outlineLevel="0" max="6" min="6" style="0" width="64"/>
    <col collapsed="false" customWidth="true" hidden="false" outlineLevel="0" max="7" min="7" style="0" width="12"/>
  </cols>
  <sheetData>
    <row r="1" customFormat="false" ht="31.5" hidden="false" customHeight="true" outlineLevel="0" collapsed="false">
      <c r="A1" s="5" t="s">
        <v>167</v>
      </c>
      <c r="B1" s="5" t="s">
        <v>168</v>
      </c>
      <c r="C1" s="5" t="s">
        <v>31</v>
      </c>
      <c r="D1" s="5" t="s">
        <v>169</v>
      </c>
      <c r="E1" s="5" t="s">
        <v>170</v>
      </c>
      <c r="F1" s="5" t="s">
        <v>171</v>
      </c>
      <c r="G1" s="5" t="s">
        <v>172</v>
      </c>
    </row>
    <row r="2" customFormat="false" ht="15" hidden="false" customHeight="false" outlineLevel="0" collapsed="false">
      <c r="A2" s="6" t="s">
        <v>39</v>
      </c>
      <c r="B2" s="6" t="s">
        <v>173</v>
      </c>
      <c r="C2" s="8" t="s">
        <v>174</v>
      </c>
      <c r="D2" s="8" t="s">
        <v>175</v>
      </c>
      <c r="E2" s="7" t="s">
        <v>176</v>
      </c>
      <c r="F2" s="8" t="s">
        <v>177</v>
      </c>
      <c r="G2" s="6" t="s">
        <v>36</v>
      </c>
    </row>
    <row r="3" customFormat="false" ht="15" hidden="false" customHeight="false" outlineLevel="0" collapsed="false">
      <c r="A3" s="10" t="s">
        <v>39</v>
      </c>
      <c r="B3" s="10" t="s">
        <v>178</v>
      </c>
      <c r="C3" s="11" t="s">
        <v>179</v>
      </c>
      <c r="D3" s="11" t="s">
        <v>175</v>
      </c>
      <c r="E3" s="7" t="s">
        <v>176</v>
      </c>
      <c r="F3" s="11" t="s">
        <v>180</v>
      </c>
      <c r="G3" s="10" t="s">
        <v>36</v>
      </c>
    </row>
    <row r="4" customFormat="false" ht="15" hidden="false" customHeight="false" outlineLevel="0" collapsed="false">
      <c r="A4" s="6" t="s">
        <v>39</v>
      </c>
      <c r="B4" s="6" t="s">
        <v>181</v>
      </c>
      <c r="C4" s="8" t="s">
        <v>182</v>
      </c>
      <c r="D4" s="8" t="s">
        <v>175</v>
      </c>
      <c r="E4" s="7" t="s">
        <v>176</v>
      </c>
      <c r="F4" s="8" t="s">
        <v>183</v>
      </c>
      <c r="G4" s="6" t="s">
        <v>36</v>
      </c>
    </row>
    <row r="5" customFormat="false" ht="15" hidden="false" customHeight="false" outlineLevel="0" collapsed="false">
      <c r="A5" s="10" t="s">
        <v>39</v>
      </c>
      <c r="B5" s="10" t="s">
        <v>184</v>
      </c>
      <c r="C5" s="11" t="s">
        <v>185</v>
      </c>
      <c r="D5" s="11" t="s">
        <v>175</v>
      </c>
      <c r="E5" s="7" t="s">
        <v>176</v>
      </c>
      <c r="F5" s="11" t="s">
        <v>186</v>
      </c>
      <c r="G5" s="10" t="s">
        <v>36</v>
      </c>
    </row>
    <row r="6" customFormat="false" ht="15" hidden="false" customHeight="false" outlineLevel="0" collapsed="false">
      <c r="A6" s="6" t="s">
        <v>39</v>
      </c>
      <c r="B6" s="6" t="s">
        <v>187</v>
      </c>
      <c r="C6" s="8" t="s">
        <v>188</v>
      </c>
      <c r="D6" s="8" t="s">
        <v>189</v>
      </c>
      <c r="E6" s="12" t="s">
        <v>190</v>
      </c>
      <c r="F6" s="8" t="s">
        <v>191</v>
      </c>
      <c r="G6" s="6" t="s">
        <v>46</v>
      </c>
    </row>
    <row r="7" customFormat="false" ht="15" hidden="false" customHeight="false" outlineLevel="0" collapsed="false">
      <c r="A7" s="10" t="s">
        <v>89</v>
      </c>
      <c r="B7" s="10" t="s">
        <v>187</v>
      </c>
      <c r="C7" s="11" t="s">
        <v>192</v>
      </c>
      <c r="D7" s="11" t="s">
        <v>193</v>
      </c>
      <c r="E7" s="14" t="s">
        <v>194</v>
      </c>
      <c r="F7" s="11" t="s">
        <v>195</v>
      </c>
      <c r="G7" s="10" t="s">
        <v>87</v>
      </c>
    </row>
    <row r="8" customFormat="false" ht="15" hidden="false" customHeight="false" outlineLevel="0" collapsed="false">
      <c r="A8" s="6" t="s">
        <v>118</v>
      </c>
      <c r="B8" s="6" t="s">
        <v>196</v>
      </c>
      <c r="C8" s="8" t="s">
        <v>197</v>
      </c>
      <c r="D8" s="8" t="s">
        <v>196</v>
      </c>
      <c r="E8" s="14" t="s">
        <v>194</v>
      </c>
      <c r="F8" s="8" t="s">
        <v>128</v>
      </c>
      <c r="G8" s="6" t="s">
        <v>128</v>
      </c>
    </row>
    <row r="9" customFormat="false" ht="23.85" hidden="false" customHeight="false" outlineLevel="0" collapsed="false">
      <c r="A9" s="10" t="s">
        <v>118</v>
      </c>
      <c r="B9" s="10" t="s">
        <v>198</v>
      </c>
      <c r="C9" s="11" t="s">
        <v>199</v>
      </c>
      <c r="D9" s="11" t="s">
        <v>200</v>
      </c>
      <c r="E9" s="14" t="s">
        <v>194</v>
      </c>
      <c r="F9" s="11" t="s">
        <v>201</v>
      </c>
      <c r="G9" s="10" t="s">
        <v>116</v>
      </c>
    </row>
    <row r="10" customFormat="false" ht="15" hidden="false" customHeight="false" outlineLevel="0" collapsed="false">
      <c r="A10" s="6" t="s">
        <v>202</v>
      </c>
      <c r="B10" s="6" t="s">
        <v>203</v>
      </c>
      <c r="C10" s="8" t="s">
        <v>204</v>
      </c>
      <c r="D10" s="8" t="s">
        <v>203</v>
      </c>
      <c r="E10" s="14" t="s">
        <v>194</v>
      </c>
      <c r="F10" s="8" t="s">
        <v>128</v>
      </c>
      <c r="G10" s="6" t="s">
        <v>128</v>
      </c>
    </row>
    <row r="11" customFormat="false" ht="15" hidden="false" customHeight="false" outlineLevel="0" collapsed="false">
      <c r="A11" s="10" t="s">
        <v>205</v>
      </c>
      <c r="B11" s="10" t="s">
        <v>206</v>
      </c>
      <c r="C11" s="11" t="s">
        <v>204</v>
      </c>
      <c r="D11" s="11" t="s">
        <v>206</v>
      </c>
      <c r="E11" s="14" t="s">
        <v>194</v>
      </c>
      <c r="F11" s="11" t="s">
        <v>207</v>
      </c>
      <c r="G11" s="10" t="s">
        <v>73</v>
      </c>
    </row>
    <row r="12" customFormat="false" ht="15" hidden="false" customHeight="false" outlineLevel="0" collapsed="false">
      <c r="A12" s="6" t="s">
        <v>82</v>
      </c>
      <c r="B12" s="6" t="s">
        <v>208</v>
      </c>
      <c r="C12" s="8" t="s">
        <v>209</v>
      </c>
      <c r="D12" s="8" t="s">
        <v>208</v>
      </c>
      <c r="E12" s="14" t="s">
        <v>194</v>
      </c>
      <c r="F12" s="8" t="s">
        <v>210</v>
      </c>
      <c r="G12" s="6" t="s">
        <v>81</v>
      </c>
    </row>
    <row r="13" customFormat="false" ht="15" hidden="false" customHeight="false" outlineLevel="0" collapsed="false">
      <c r="A13" s="10" t="s">
        <v>61</v>
      </c>
      <c r="B13" s="10" t="s">
        <v>211</v>
      </c>
      <c r="C13" s="11" t="s">
        <v>212</v>
      </c>
      <c r="D13" s="11" t="s">
        <v>213</v>
      </c>
      <c r="E13" s="7" t="s">
        <v>176</v>
      </c>
      <c r="F13" s="11" t="s">
        <v>214</v>
      </c>
      <c r="G13" s="10" t="s">
        <v>60</v>
      </c>
    </row>
    <row r="14" customFormat="false" ht="15" hidden="false" customHeight="false" outlineLevel="0" collapsed="false">
      <c r="A14" s="6" t="s">
        <v>68</v>
      </c>
      <c r="B14" s="6" t="s">
        <v>215</v>
      </c>
      <c r="C14" s="8" t="s">
        <v>216</v>
      </c>
      <c r="D14" s="8" t="s">
        <v>217</v>
      </c>
      <c r="E14" s="7" t="s">
        <v>176</v>
      </c>
      <c r="F14" s="8" t="s">
        <v>218</v>
      </c>
      <c r="G14" s="6" t="s">
        <v>67</v>
      </c>
    </row>
    <row r="15" customFormat="false" ht="35.05" hidden="false" customHeight="false" outlineLevel="0" collapsed="false">
      <c r="A15" s="10" t="s">
        <v>219</v>
      </c>
      <c r="B15" s="10" t="s">
        <v>220</v>
      </c>
      <c r="C15" s="11" t="s">
        <v>221</v>
      </c>
      <c r="D15" s="11" t="s">
        <v>222</v>
      </c>
      <c r="E15" s="14" t="s">
        <v>194</v>
      </c>
      <c r="F15" s="11" t="s">
        <v>223</v>
      </c>
      <c r="G15" s="10" t="s">
        <v>128</v>
      </c>
    </row>
    <row r="16" customFormat="false" ht="35.05" hidden="false" customHeight="false" outlineLevel="0" collapsed="false">
      <c r="A16" s="6" t="s">
        <v>219</v>
      </c>
      <c r="B16" s="6" t="s">
        <v>173</v>
      </c>
      <c r="C16" s="8" t="s">
        <v>224</v>
      </c>
      <c r="D16" s="8" t="s">
        <v>225</v>
      </c>
      <c r="E16" s="14" t="s">
        <v>194</v>
      </c>
      <c r="F16" s="8" t="s">
        <v>226</v>
      </c>
      <c r="G16" s="6" t="s">
        <v>128</v>
      </c>
    </row>
    <row r="17" customFormat="false" ht="15" hidden="false" customHeight="false" outlineLevel="0" collapsed="false">
      <c r="A17" s="10" t="s">
        <v>227</v>
      </c>
      <c r="B17" s="10" t="s">
        <v>228</v>
      </c>
      <c r="C17" s="11" t="s">
        <v>229</v>
      </c>
      <c r="D17" s="11" t="s">
        <v>230</v>
      </c>
      <c r="E17" s="12" t="s">
        <v>190</v>
      </c>
      <c r="F17" s="11" t="s">
        <v>231</v>
      </c>
      <c r="G17" s="10" t="s">
        <v>101</v>
      </c>
    </row>
    <row r="18" customFormat="false" ht="15" hidden="false" customHeight="false" outlineLevel="0" collapsed="false">
      <c r="A18" s="6" t="s">
        <v>54</v>
      </c>
      <c r="B18" s="6" t="s">
        <v>232</v>
      </c>
      <c r="C18" s="8" t="s">
        <v>233</v>
      </c>
      <c r="D18" s="8" t="s">
        <v>234</v>
      </c>
      <c r="E18" s="7" t="s">
        <v>176</v>
      </c>
      <c r="F18" s="8" t="s">
        <v>235</v>
      </c>
      <c r="G18" s="6" t="s">
        <v>236</v>
      </c>
    </row>
    <row r="19" customFormat="false" ht="15" hidden="false" customHeight="false" outlineLevel="0" collapsed="false">
      <c r="A19" s="10" t="s">
        <v>54</v>
      </c>
      <c r="B19" s="10" t="s">
        <v>237</v>
      </c>
      <c r="C19" s="11" t="s">
        <v>238</v>
      </c>
      <c r="D19" s="11" t="s">
        <v>239</v>
      </c>
      <c r="E19" s="14" t="s">
        <v>194</v>
      </c>
      <c r="F19" s="11" t="s">
        <v>240</v>
      </c>
      <c r="G19" s="10" t="s">
        <v>128</v>
      </c>
    </row>
    <row r="20" customFormat="false" ht="15" hidden="false" customHeight="false" outlineLevel="0" collapsed="false">
      <c r="A20" s="6" t="s">
        <v>110</v>
      </c>
      <c r="B20" s="6" t="s">
        <v>241</v>
      </c>
      <c r="C20" s="8" t="s">
        <v>242</v>
      </c>
      <c r="D20" s="8" t="s">
        <v>243</v>
      </c>
      <c r="E20" s="7" t="s">
        <v>244</v>
      </c>
      <c r="F20" s="8" t="s">
        <v>245</v>
      </c>
      <c r="G20" s="6" t="s">
        <v>108</v>
      </c>
    </row>
  </sheetData>
  <autoFilter ref="A1:G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18"/>
    <col collapsed="false" customWidth="true" hidden="false" outlineLevel="0" max="4" min="4" style="0" width="44"/>
    <col collapsed="false" customWidth="true" hidden="false" outlineLevel="0" max="5" min="5" style="0" width="66"/>
    <col collapsed="false" customWidth="true" hidden="false" outlineLevel="0" max="6" min="6" style="0" width="50"/>
    <col collapsed="false" customWidth="true" hidden="false" outlineLevel="0" max="7" min="7" style="0" width="12"/>
    <col collapsed="false" customWidth="true" hidden="false" outlineLevel="0" max="8" min="8" style="0" width="72"/>
  </cols>
  <sheetData>
    <row r="1" customFormat="false" ht="31.5" hidden="false" customHeight="true" outlineLevel="0" collapsed="false">
      <c r="A1" s="5" t="s">
        <v>246</v>
      </c>
      <c r="B1" s="5" t="s">
        <v>247</v>
      </c>
      <c r="C1" s="5" t="s">
        <v>248</v>
      </c>
      <c r="D1" s="5" t="s">
        <v>249</v>
      </c>
      <c r="E1" s="5" t="s">
        <v>250</v>
      </c>
      <c r="F1" s="5" t="s">
        <v>251</v>
      </c>
      <c r="G1" s="5" t="s">
        <v>252</v>
      </c>
      <c r="H1" s="5" t="s">
        <v>253</v>
      </c>
    </row>
    <row r="2" customFormat="false" ht="68.65" hidden="false" customHeight="false" outlineLevel="0" collapsed="false">
      <c r="A2" s="6" t="s">
        <v>254</v>
      </c>
      <c r="B2" s="6" t="s">
        <v>219</v>
      </c>
      <c r="C2" s="6" t="s">
        <v>255</v>
      </c>
      <c r="D2" s="8" t="s">
        <v>256</v>
      </c>
      <c r="E2" s="8" t="s">
        <v>257</v>
      </c>
      <c r="F2" s="8" t="s">
        <v>258</v>
      </c>
      <c r="G2" s="6" t="s">
        <v>259</v>
      </c>
      <c r="H2" s="8" t="s">
        <v>260</v>
      </c>
    </row>
    <row r="3" customFormat="false" ht="23.85" hidden="false" customHeight="false" outlineLevel="0" collapsed="false">
      <c r="A3" s="10" t="s">
        <v>261</v>
      </c>
      <c r="B3" s="10" t="s">
        <v>227</v>
      </c>
      <c r="C3" s="10" t="s">
        <v>255</v>
      </c>
      <c r="D3" s="11" t="s">
        <v>262</v>
      </c>
      <c r="E3" s="11" t="s">
        <v>228</v>
      </c>
      <c r="F3" s="11" t="s">
        <v>263</v>
      </c>
      <c r="G3" s="10" t="s">
        <v>264</v>
      </c>
      <c r="H3" s="11" t="s">
        <v>265</v>
      </c>
    </row>
    <row r="4" customFormat="false" ht="35.05" hidden="false" customHeight="false" outlineLevel="0" collapsed="false">
      <c r="A4" s="6" t="s">
        <v>266</v>
      </c>
      <c r="B4" s="6" t="s">
        <v>54</v>
      </c>
      <c r="C4" s="6" t="s">
        <v>255</v>
      </c>
      <c r="D4" s="8" t="s">
        <v>267</v>
      </c>
      <c r="E4" s="8" t="s">
        <v>268</v>
      </c>
      <c r="F4" s="8" t="s">
        <v>269</v>
      </c>
      <c r="G4" s="6" t="s">
        <v>270</v>
      </c>
      <c r="H4" s="8" t="s">
        <v>271</v>
      </c>
    </row>
    <row r="5" customFormat="false" ht="15" hidden="false" customHeight="false" outlineLevel="0" collapsed="false">
      <c r="A5" s="10" t="s">
        <v>272</v>
      </c>
      <c r="B5" s="10" t="s">
        <v>118</v>
      </c>
      <c r="C5" s="10" t="s">
        <v>273</v>
      </c>
      <c r="D5" s="11" t="s">
        <v>274</v>
      </c>
      <c r="E5" s="11" t="s">
        <v>275</v>
      </c>
      <c r="F5" s="11" t="s">
        <v>276</v>
      </c>
      <c r="G5" s="10" t="s">
        <v>264</v>
      </c>
      <c r="H5" s="11" t="s">
        <v>277</v>
      </c>
    </row>
    <row r="6" customFormat="false" ht="15" hidden="false" customHeight="false" outlineLevel="0" collapsed="false">
      <c r="A6" s="6" t="s">
        <v>278</v>
      </c>
      <c r="B6" s="6" t="s">
        <v>202</v>
      </c>
      <c r="C6" s="6" t="s">
        <v>273</v>
      </c>
      <c r="D6" s="8" t="s">
        <v>274</v>
      </c>
      <c r="E6" s="8" t="s">
        <v>279</v>
      </c>
      <c r="F6" s="8" t="s">
        <v>276</v>
      </c>
      <c r="G6" s="6" t="s">
        <v>264</v>
      </c>
      <c r="H6" s="8" t="s">
        <v>280</v>
      </c>
    </row>
    <row r="7" customFormat="false" ht="15" hidden="false" customHeight="false" outlineLevel="0" collapsed="false">
      <c r="A7" s="10" t="s">
        <v>281</v>
      </c>
      <c r="B7" s="10" t="s">
        <v>205</v>
      </c>
      <c r="C7" s="10" t="s">
        <v>273</v>
      </c>
      <c r="D7" s="11" t="s">
        <v>274</v>
      </c>
      <c r="E7" s="11" t="s">
        <v>282</v>
      </c>
      <c r="F7" s="11" t="s">
        <v>276</v>
      </c>
      <c r="G7" s="10" t="s">
        <v>264</v>
      </c>
      <c r="H7" s="11" t="s">
        <v>283</v>
      </c>
    </row>
    <row r="8" customFormat="false" ht="23.85" hidden="false" customHeight="false" outlineLevel="0" collapsed="false">
      <c r="A8" s="6" t="s">
        <v>284</v>
      </c>
      <c r="B8" s="6" t="s">
        <v>82</v>
      </c>
      <c r="C8" s="6" t="s">
        <v>273</v>
      </c>
      <c r="D8" s="8" t="s">
        <v>274</v>
      </c>
      <c r="E8" s="8" t="s">
        <v>285</v>
      </c>
      <c r="F8" s="8" t="s">
        <v>276</v>
      </c>
      <c r="G8" s="6" t="s">
        <v>259</v>
      </c>
      <c r="H8" s="8" t="s">
        <v>286</v>
      </c>
    </row>
    <row r="9" customFormat="false" ht="15" hidden="false" customHeight="false" outlineLevel="0" collapsed="false">
      <c r="A9" s="10" t="s">
        <v>287</v>
      </c>
      <c r="B9" s="10" t="s">
        <v>61</v>
      </c>
      <c r="C9" s="10" t="s">
        <v>273</v>
      </c>
      <c r="D9" s="11" t="s">
        <v>274</v>
      </c>
      <c r="E9" s="11" t="s">
        <v>288</v>
      </c>
      <c r="F9" s="11" t="s">
        <v>276</v>
      </c>
      <c r="G9" s="10" t="s">
        <v>264</v>
      </c>
      <c r="H9" s="11" t="s">
        <v>289</v>
      </c>
    </row>
    <row r="10" customFormat="false" ht="23.85" hidden="false" customHeight="false" outlineLevel="0" collapsed="false">
      <c r="A10" s="6" t="s">
        <v>290</v>
      </c>
      <c r="B10" s="6" t="s">
        <v>68</v>
      </c>
      <c r="C10" s="6" t="s">
        <v>273</v>
      </c>
      <c r="D10" s="8" t="s">
        <v>274</v>
      </c>
      <c r="E10" s="8" t="s">
        <v>291</v>
      </c>
      <c r="F10" s="8" t="s">
        <v>276</v>
      </c>
      <c r="G10" s="6" t="s">
        <v>264</v>
      </c>
      <c r="H10" s="8" t="s">
        <v>292</v>
      </c>
    </row>
    <row r="11" customFormat="false" ht="23.85" hidden="false" customHeight="false" outlineLevel="0" collapsed="false">
      <c r="A11" s="10" t="s">
        <v>293</v>
      </c>
      <c r="B11" s="10" t="s">
        <v>294</v>
      </c>
      <c r="C11" s="10" t="s">
        <v>295</v>
      </c>
      <c r="D11" s="11" t="s">
        <v>296</v>
      </c>
      <c r="E11" s="11" t="s">
        <v>297</v>
      </c>
      <c r="F11" s="11" t="s">
        <v>276</v>
      </c>
      <c r="G11" s="10" t="s">
        <v>264</v>
      </c>
      <c r="H11" s="11" t="s">
        <v>298</v>
      </c>
    </row>
    <row r="12" customFormat="false" ht="23.85" hidden="false" customHeight="false" outlineLevel="0" collapsed="false">
      <c r="A12" s="6" t="s">
        <v>299</v>
      </c>
      <c r="B12" s="6" t="s">
        <v>39</v>
      </c>
      <c r="C12" s="6" t="s">
        <v>295</v>
      </c>
      <c r="D12" s="8" t="s">
        <v>300</v>
      </c>
      <c r="E12" s="8" t="s">
        <v>301</v>
      </c>
      <c r="F12" s="8" t="s">
        <v>302</v>
      </c>
      <c r="G12" s="6" t="s">
        <v>264</v>
      </c>
      <c r="H12" s="8" t="s">
        <v>303</v>
      </c>
    </row>
    <row r="13" customFormat="false" ht="15" hidden="false" customHeight="false" outlineLevel="0" collapsed="false">
      <c r="A13" s="10" t="s">
        <v>304</v>
      </c>
      <c r="B13" s="10" t="s">
        <v>162</v>
      </c>
      <c r="C13" s="10" t="s">
        <v>295</v>
      </c>
      <c r="D13" s="11" t="s">
        <v>305</v>
      </c>
      <c r="E13" s="11" t="s">
        <v>306</v>
      </c>
      <c r="F13" s="11" t="s">
        <v>276</v>
      </c>
      <c r="G13" s="10" t="s">
        <v>259</v>
      </c>
      <c r="H13" s="11" t="s">
        <v>307</v>
      </c>
    </row>
    <row r="14" customFormat="false" ht="23.85" hidden="false" customHeight="false" outlineLevel="0" collapsed="false">
      <c r="A14" s="6" t="s">
        <v>308</v>
      </c>
      <c r="B14" s="6" t="s">
        <v>110</v>
      </c>
      <c r="C14" s="6" t="s">
        <v>111</v>
      </c>
      <c r="D14" s="8" t="s">
        <v>128</v>
      </c>
      <c r="E14" s="8" t="s">
        <v>128</v>
      </c>
      <c r="F14" s="8" t="s">
        <v>309</v>
      </c>
      <c r="G14" s="6" t="s">
        <v>310</v>
      </c>
      <c r="H14" s="8" t="s">
        <v>311</v>
      </c>
    </row>
    <row r="15" customFormat="false" ht="15" hidden="false" customHeight="false" outlineLevel="0" collapsed="false">
      <c r="A15" s="10" t="s">
        <v>312</v>
      </c>
      <c r="B15" s="10" t="s">
        <v>313</v>
      </c>
      <c r="C15" s="10" t="s">
        <v>76</v>
      </c>
      <c r="D15" s="11" t="s">
        <v>314</v>
      </c>
      <c r="E15" s="11" t="s">
        <v>128</v>
      </c>
      <c r="F15" s="11" t="s">
        <v>128</v>
      </c>
      <c r="G15" s="10" t="s">
        <v>128</v>
      </c>
      <c r="H15" s="11" t="s">
        <v>315</v>
      </c>
    </row>
  </sheetData>
  <autoFilter ref="A1:H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22"/>
    <col collapsed="false" customWidth="true" hidden="false" outlineLevel="0" max="4" min="4" style="0" width="46"/>
    <col collapsed="false" customWidth="true" hidden="false" outlineLevel="0" max="5" min="5" style="0" width="18"/>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14"/>
    <col collapsed="false" customWidth="true" hidden="false" outlineLevel="0" max="10" min="10" style="0" width="12"/>
    <col collapsed="false" customWidth="true" hidden="false" outlineLevel="0" max="11" min="11" style="0" width="58"/>
  </cols>
  <sheetData>
    <row r="1" customFormat="false" ht="31.5" hidden="false" customHeight="true" outlineLevel="0" collapsed="false">
      <c r="A1" s="5" t="s">
        <v>316</v>
      </c>
      <c r="B1" s="5" t="s">
        <v>28</v>
      </c>
      <c r="C1" s="5" t="s">
        <v>317</v>
      </c>
      <c r="D1" s="5" t="s">
        <v>318</v>
      </c>
      <c r="E1" s="5" t="s">
        <v>319</v>
      </c>
      <c r="F1" s="5" t="s">
        <v>35</v>
      </c>
      <c r="G1" s="5" t="s">
        <v>320</v>
      </c>
      <c r="H1" s="5" t="s">
        <v>321</v>
      </c>
      <c r="I1" s="5" t="s">
        <v>322</v>
      </c>
      <c r="J1" s="5" t="s">
        <v>323</v>
      </c>
      <c r="K1" s="5" t="s">
        <v>324</v>
      </c>
    </row>
    <row r="2" customFormat="false" ht="23.85" hidden="false" customHeight="false" outlineLevel="0" collapsed="false">
      <c r="A2" s="6" t="s">
        <v>325</v>
      </c>
      <c r="B2" s="6" t="s">
        <v>326</v>
      </c>
      <c r="C2" s="15" t="s">
        <v>327</v>
      </c>
      <c r="D2" s="16" t="s">
        <v>328</v>
      </c>
      <c r="E2" s="15" t="s">
        <v>329</v>
      </c>
      <c r="F2" s="6" t="s">
        <v>330</v>
      </c>
      <c r="G2" s="6" t="s">
        <v>331</v>
      </c>
      <c r="H2" s="6" t="s">
        <v>331</v>
      </c>
      <c r="I2" s="6" t="s">
        <v>332</v>
      </c>
      <c r="J2" s="15" t="s">
        <v>333</v>
      </c>
      <c r="K2" s="8" t="s">
        <v>334</v>
      </c>
    </row>
    <row r="3" customFormat="false" ht="23.85" hidden="false" customHeight="false" outlineLevel="0" collapsed="false">
      <c r="A3" s="10" t="s">
        <v>335</v>
      </c>
      <c r="B3" s="10" t="s">
        <v>336</v>
      </c>
      <c r="C3" s="15" t="s">
        <v>337</v>
      </c>
      <c r="D3" s="16" t="s">
        <v>338</v>
      </c>
      <c r="E3" s="15" t="s">
        <v>339</v>
      </c>
      <c r="F3" s="10" t="s">
        <v>330</v>
      </c>
      <c r="G3" s="10" t="s">
        <v>340</v>
      </c>
      <c r="H3" s="10" t="s">
        <v>331</v>
      </c>
      <c r="I3" s="10" t="s">
        <v>332</v>
      </c>
      <c r="J3" s="15" t="s">
        <v>341</v>
      </c>
      <c r="K3" s="11" t="s">
        <v>342</v>
      </c>
    </row>
    <row r="4" customFormat="false" ht="23.85" hidden="false" customHeight="false" outlineLevel="0" collapsed="false">
      <c r="A4" s="6" t="s">
        <v>343</v>
      </c>
      <c r="B4" s="6" t="s">
        <v>344</v>
      </c>
      <c r="C4" s="15" t="s">
        <v>345</v>
      </c>
      <c r="D4" s="16" t="s">
        <v>346</v>
      </c>
      <c r="E4" s="15" t="s">
        <v>347</v>
      </c>
      <c r="F4" s="6" t="s">
        <v>330</v>
      </c>
      <c r="G4" s="6" t="s">
        <v>331</v>
      </c>
      <c r="H4" s="6" t="s">
        <v>340</v>
      </c>
      <c r="I4" s="6" t="s">
        <v>348</v>
      </c>
      <c r="J4" s="15" t="s">
        <v>333</v>
      </c>
      <c r="K4" s="8" t="s">
        <v>349</v>
      </c>
    </row>
    <row r="5" customFormat="false" ht="23.85" hidden="false" customHeight="false" outlineLevel="0" collapsed="false">
      <c r="A5" s="10" t="s">
        <v>350</v>
      </c>
      <c r="B5" s="10" t="s">
        <v>351</v>
      </c>
      <c r="C5" s="15" t="s">
        <v>352</v>
      </c>
      <c r="D5" s="16" t="s">
        <v>353</v>
      </c>
      <c r="E5" s="15" t="s">
        <v>354</v>
      </c>
      <c r="F5" s="10" t="s">
        <v>351</v>
      </c>
      <c r="G5" s="10" t="s">
        <v>331</v>
      </c>
      <c r="H5" s="10" t="s">
        <v>331</v>
      </c>
      <c r="I5" s="10" t="s">
        <v>332</v>
      </c>
      <c r="J5" s="15" t="s">
        <v>355</v>
      </c>
      <c r="K5" s="11" t="s">
        <v>356</v>
      </c>
    </row>
    <row r="6" customFormat="false" ht="23.85" hidden="false" customHeight="false" outlineLevel="0" collapsed="false">
      <c r="A6" s="6" t="s">
        <v>357</v>
      </c>
      <c r="B6" s="6" t="s">
        <v>358</v>
      </c>
      <c r="C6" s="15" t="s">
        <v>359</v>
      </c>
      <c r="D6" s="16" t="s">
        <v>360</v>
      </c>
      <c r="E6" s="15" t="s">
        <v>361</v>
      </c>
      <c r="F6" s="6" t="s">
        <v>362</v>
      </c>
      <c r="G6" s="6" t="s">
        <v>331</v>
      </c>
      <c r="H6" s="6" t="s">
        <v>331</v>
      </c>
      <c r="I6" s="6" t="s">
        <v>348</v>
      </c>
      <c r="J6" s="15" t="s">
        <v>363</v>
      </c>
      <c r="K6" s="8" t="s">
        <v>364</v>
      </c>
    </row>
    <row r="7" customFormat="false" ht="23.85" hidden="false" customHeight="false" outlineLevel="0" collapsed="false">
      <c r="A7" s="10" t="s">
        <v>365</v>
      </c>
      <c r="B7" s="10" t="s">
        <v>295</v>
      </c>
      <c r="C7" s="15" t="s">
        <v>366</v>
      </c>
      <c r="D7" s="16" t="s">
        <v>367</v>
      </c>
      <c r="E7" s="15" t="s">
        <v>368</v>
      </c>
      <c r="F7" s="10" t="s">
        <v>330</v>
      </c>
      <c r="G7" s="10" t="s">
        <v>331</v>
      </c>
      <c r="H7" s="10" t="s">
        <v>331</v>
      </c>
      <c r="I7" s="10" t="s">
        <v>369</v>
      </c>
      <c r="J7" s="15" t="s">
        <v>333</v>
      </c>
      <c r="K7" s="11" t="s">
        <v>370</v>
      </c>
    </row>
    <row r="8" customFormat="false" ht="35.05" hidden="false" customHeight="false" outlineLevel="0" collapsed="false">
      <c r="A8" s="6" t="s">
        <v>371</v>
      </c>
      <c r="B8" s="6" t="s">
        <v>372</v>
      </c>
      <c r="C8" s="6" t="s">
        <v>373</v>
      </c>
      <c r="D8" s="8" t="s">
        <v>374</v>
      </c>
      <c r="E8" s="6" t="s">
        <v>375</v>
      </c>
      <c r="F8" s="6" t="s">
        <v>376</v>
      </c>
      <c r="G8" s="6" t="s">
        <v>128</v>
      </c>
      <c r="H8" s="6" t="s">
        <v>128</v>
      </c>
      <c r="I8" s="6" t="s">
        <v>128</v>
      </c>
      <c r="J8" s="6" t="s">
        <v>333</v>
      </c>
      <c r="K8" s="8" t="s">
        <v>377</v>
      </c>
    </row>
    <row r="10" customFormat="false" ht="15" hidden="false" customHeight="false" outlineLevel="0" collapsed="false">
      <c r="A10" s="17" t="s">
        <v>378</v>
      </c>
    </row>
    <row r="11" customFormat="false" ht="15" hidden="false" customHeight="false" outlineLevel="0" collapsed="false">
      <c r="A11" s="18" t="s">
        <v>379</v>
      </c>
    </row>
    <row r="12" customFormat="false" ht="15" hidden="false" customHeight="false" outlineLevel="0" collapsed="false">
      <c r="A12" s="18" t="s">
        <v>380</v>
      </c>
    </row>
    <row r="13" customFormat="false" ht="15" hidden="false" customHeight="false" outlineLevel="0" collapsed="false">
      <c r="A13" s="18" t="s">
        <v>381</v>
      </c>
    </row>
    <row r="14" customFormat="false" ht="15" hidden="false" customHeight="false" outlineLevel="0" collapsed="false">
      <c r="A14" s="18" t="s">
        <v>382</v>
      </c>
    </row>
    <row r="15" customFormat="false" ht="15" hidden="false" customHeight="false" outlineLevel="0" collapsed="false">
      <c r="A15" s="18" t="s">
        <v>383</v>
      </c>
    </row>
  </sheetData>
  <autoFilter ref="A1:K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6"/>
    <col collapsed="false" customWidth="true" hidden="false" outlineLevel="0" max="3" min="3" style="0" width="38"/>
    <col collapsed="false" customWidth="true" hidden="false" outlineLevel="0" max="4" min="4" style="0" width="9"/>
    <col collapsed="false" customWidth="true" hidden="false" outlineLevel="0" max="5" min="5" style="0" width="7"/>
    <col collapsed="false" customWidth="true" hidden="false" outlineLevel="0" max="6" min="6" style="0" width="32"/>
    <col collapsed="false" customWidth="true" hidden="false" outlineLevel="0" max="7" min="7" style="0" width="52"/>
    <col collapsed="false" customWidth="true" hidden="false" outlineLevel="0" max="8" min="8" style="0" width="24"/>
    <col collapsed="false" customWidth="true" hidden="false" outlineLevel="0" max="9" min="9" style="0" width="13"/>
    <col collapsed="false" customWidth="true" hidden="false" outlineLevel="0" max="10" min="10" style="0" width="82"/>
  </cols>
  <sheetData>
    <row r="1" customFormat="false" ht="31.5" hidden="false" customHeight="true" outlineLevel="0" collapsed="false">
      <c r="A1" s="5" t="s">
        <v>26</v>
      </c>
      <c r="B1" s="5" t="s">
        <v>384</v>
      </c>
      <c r="C1" s="5" t="s">
        <v>385</v>
      </c>
      <c r="D1" s="5" t="s">
        <v>316</v>
      </c>
      <c r="E1" s="5" t="s">
        <v>386</v>
      </c>
      <c r="F1" s="5" t="s">
        <v>387</v>
      </c>
      <c r="G1" s="5" t="s">
        <v>388</v>
      </c>
      <c r="H1" s="5" t="s">
        <v>389</v>
      </c>
      <c r="I1" s="5" t="s">
        <v>170</v>
      </c>
      <c r="J1" s="5" t="s">
        <v>390</v>
      </c>
    </row>
    <row r="2" customFormat="false" ht="23.85" hidden="false" customHeight="false" outlineLevel="0" collapsed="false">
      <c r="A2" s="6" t="s">
        <v>391</v>
      </c>
      <c r="B2" s="6" t="s">
        <v>392</v>
      </c>
      <c r="C2" s="8" t="s">
        <v>393</v>
      </c>
      <c r="D2" s="6" t="s">
        <v>325</v>
      </c>
      <c r="E2" s="6" t="n">
        <v>12</v>
      </c>
      <c r="F2" s="8" t="s">
        <v>394</v>
      </c>
      <c r="G2" s="8" t="s">
        <v>395</v>
      </c>
      <c r="H2" s="6" t="s">
        <v>396</v>
      </c>
      <c r="I2" s="14" t="s">
        <v>397</v>
      </c>
      <c r="J2" s="8" t="s">
        <v>398</v>
      </c>
    </row>
    <row r="3" customFormat="false" ht="15" hidden="false" customHeight="false" outlineLevel="0" collapsed="false">
      <c r="A3" s="10" t="s">
        <v>399</v>
      </c>
      <c r="B3" s="10" t="s">
        <v>392</v>
      </c>
      <c r="C3" s="11" t="s">
        <v>400</v>
      </c>
      <c r="D3" s="10" t="s">
        <v>325</v>
      </c>
      <c r="E3" s="10" t="n">
        <v>14</v>
      </c>
      <c r="F3" s="11" t="s">
        <v>401</v>
      </c>
      <c r="G3" s="11" t="s">
        <v>402</v>
      </c>
      <c r="H3" s="10" t="s">
        <v>403</v>
      </c>
      <c r="I3" s="14" t="s">
        <v>397</v>
      </c>
      <c r="J3" s="11" t="s">
        <v>404</v>
      </c>
    </row>
    <row r="4" customFormat="false" ht="23.85" hidden="false" customHeight="false" outlineLevel="0" collapsed="false">
      <c r="A4" s="6" t="s">
        <v>405</v>
      </c>
      <c r="B4" s="6" t="s">
        <v>392</v>
      </c>
      <c r="C4" s="8" t="s">
        <v>406</v>
      </c>
      <c r="D4" s="6" t="s">
        <v>325</v>
      </c>
      <c r="E4" s="6" t="n">
        <v>12</v>
      </c>
      <c r="F4" s="8" t="s">
        <v>401</v>
      </c>
      <c r="G4" s="8" t="s">
        <v>407</v>
      </c>
      <c r="H4" s="6" t="s">
        <v>403</v>
      </c>
      <c r="I4" s="14" t="s">
        <v>397</v>
      </c>
      <c r="J4" s="8" t="s">
        <v>408</v>
      </c>
    </row>
    <row r="5" customFormat="false" ht="23.85" hidden="false" customHeight="false" outlineLevel="0" collapsed="false">
      <c r="A5" s="10" t="s">
        <v>409</v>
      </c>
      <c r="B5" s="10" t="s">
        <v>392</v>
      </c>
      <c r="C5" s="11" t="s">
        <v>410</v>
      </c>
      <c r="D5" s="10" t="s">
        <v>325</v>
      </c>
      <c r="E5" s="10" t="n">
        <v>14</v>
      </c>
      <c r="F5" s="11" t="s">
        <v>401</v>
      </c>
      <c r="G5" s="11" t="s">
        <v>395</v>
      </c>
      <c r="H5" s="10" t="s">
        <v>403</v>
      </c>
      <c r="I5" s="14" t="s">
        <v>397</v>
      </c>
      <c r="J5" s="11" t="s">
        <v>411</v>
      </c>
    </row>
    <row r="6" customFormat="false" ht="23.85" hidden="false" customHeight="false" outlineLevel="0" collapsed="false">
      <c r="A6" s="6" t="s">
        <v>412</v>
      </c>
      <c r="B6" s="6" t="s">
        <v>392</v>
      </c>
      <c r="C6" s="8" t="s">
        <v>413</v>
      </c>
      <c r="D6" s="6" t="s">
        <v>325</v>
      </c>
      <c r="E6" s="6" t="n">
        <v>12</v>
      </c>
      <c r="F6" s="8" t="s">
        <v>414</v>
      </c>
      <c r="G6" s="8" t="s">
        <v>395</v>
      </c>
      <c r="H6" s="6" t="s">
        <v>403</v>
      </c>
      <c r="I6" s="14" t="s">
        <v>397</v>
      </c>
      <c r="J6" s="8" t="s">
        <v>415</v>
      </c>
    </row>
    <row r="7" customFormat="false" ht="23.85" hidden="false" customHeight="false" outlineLevel="0" collapsed="false">
      <c r="A7" s="10" t="s">
        <v>416</v>
      </c>
      <c r="B7" s="10" t="s">
        <v>417</v>
      </c>
      <c r="C7" s="11" t="s">
        <v>418</v>
      </c>
      <c r="D7" s="10" t="s">
        <v>325</v>
      </c>
      <c r="E7" s="10" t="n">
        <v>14</v>
      </c>
      <c r="F7" s="11" t="s">
        <v>414</v>
      </c>
      <c r="G7" s="11" t="s">
        <v>419</v>
      </c>
      <c r="H7" s="10" t="s">
        <v>420</v>
      </c>
      <c r="I7" s="12" t="s">
        <v>190</v>
      </c>
      <c r="J7" s="11" t="s">
        <v>421</v>
      </c>
    </row>
    <row r="8" customFormat="false" ht="23.85" hidden="false" customHeight="false" outlineLevel="0" collapsed="false">
      <c r="A8" s="6" t="s">
        <v>71</v>
      </c>
      <c r="B8" s="6" t="s">
        <v>417</v>
      </c>
      <c r="C8" s="8" t="s">
        <v>422</v>
      </c>
      <c r="D8" s="6" t="s">
        <v>335</v>
      </c>
      <c r="E8" s="6" t="n">
        <v>14</v>
      </c>
      <c r="F8" s="8" t="s">
        <v>414</v>
      </c>
      <c r="G8" s="8" t="s">
        <v>423</v>
      </c>
      <c r="H8" s="6" t="s">
        <v>424</v>
      </c>
      <c r="I8" s="7" t="s">
        <v>425</v>
      </c>
      <c r="J8" s="8" t="s">
        <v>426</v>
      </c>
    </row>
    <row r="9" customFormat="false" ht="23.85" hidden="false" customHeight="false" outlineLevel="0" collapsed="false">
      <c r="A9" s="10" t="s">
        <v>427</v>
      </c>
      <c r="B9" s="10" t="s">
        <v>417</v>
      </c>
      <c r="C9" s="11" t="s">
        <v>428</v>
      </c>
      <c r="D9" s="10" t="s">
        <v>335</v>
      </c>
      <c r="E9" s="10" t="n">
        <v>14</v>
      </c>
      <c r="F9" s="11" t="s">
        <v>414</v>
      </c>
      <c r="G9" s="11" t="s">
        <v>429</v>
      </c>
      <c r="H9" s="10" t="s">
        <v>424</v>
      </c>
      <c r="I9" s="7" t="s">
        <v>425</v>
      </c>
      <c r="J9" s="11" t="s">
        <v>430</v>
      </c>
    </row>
    <row r="10" customFormat="false" ht="23.85" hidden="false" customHeight="false" outlineLevel="0" collapsed="false">
      <c r="A10" s="6" t="s">
        <v>431</v>
      </c>
      <c r="B10" s="6" t="s">
        <v>417</v>
      </c>
      <c r="C10" s="8" t="s">
        <v>432</v>
      </c>
      <c r="D10" s="6" t="s">
        <v>343</v>
      </c>
      <c r="E10" s="6" t="n">
        <v>12</v>
      </c>
      <c r="F10" s="8" t="s">
        <v>414</v>
      </c>
      <c r="G10" s="8" t="s">
        <v>433</v>
      </c>
      <c r="H10" s="6" t="s">
        <v>434</v>
      </c>
      <c r="I10" s="7" t="s">
        <v>425</v>
      </c>
      <c r="J10" s="8" t="s">
        <v>435</v>
      </c>
    </row>
    <row r="11" customFormat="false" ht="23.85" hidden="false" customHeight="false" outlineLevel="0" collapsed="false">
      <c r="A11" s="10" t="s">
        <v>121</v>
      </c>
      <c r="B11" s="10" t="s">
        <v>417</v>
      </c>
      <c r="C11" s="11" t="s">
        <v>436</v>
      </c>
      <c r="D11" s="10" t="s">
        <v>350</v>
      </c>
      <c r="E11" s="10" t="n">
        <v>12</v>
      </c>
      <c r="F11" s="11" t="s">
        <v>414</v>
      </c>
      <c r="G11" s="11" t="s">
        <v>437</v>
      </c>
      <c r="H11" s="10" t="s">
        <v>438</v>
      </c>
      <c r="I11" s="7" t="s">
        <v>425</v>
      </c>
      <c r="J11" s="11" t="s">
        <v>439</v>
      </c>
    </row>
    <row r="12" customFormat="false" ht="23.85" hidden="false" customHeight="false" outlineLevel="0" collapsed="false">
      <c r="A12" s="6" t="s">
        <v>440</v>
      </c>
      <c r="B12" s="6" t="s">
        <v>441</v>
      </c>
      <c r="C12" s="8" t="s">
        <v>442</v>
      </c>
      <c r="D12" s="6" t="s">
        <v>365</v>
      </c>
      <c r="E12" s="6" t="n">
        <v>14</v>
      </c>
      <c r="F12" s="8" t="s">
        <v>443</v>
      </c>
      <c r="G12" s="8" t="s">
        <v>444</v>
      </c>
      <c r="H12" s="6" t="s">
        <v>445</v>
      </c>
      <c r="I12" s="7" t="s">
        <v>425</v>
      </c>
      <c r="J12" s="8" t="s">
        <v>446</v>
      </c>
    </row>
    <row r="13" customFormat="false" ht="23.85" hidden="false" customHeight="false" outlineLevel="0" collapsed="false">
      <c r="A13" s="10" t="s">
        <v>50</v>
      </c>
      <c r="B13" s="10" t="s">
        <v>441</v>
      </c>
      <c r="C13" s="11" t="s">
        <v>447</v>
      </c>
      <c r="D13" s="10" t="s">
        <v>365</v>
      </c>
      <c r="E13" s="10" t="n">
        <v>16</v>
      </c>
      <c r="F13" s="11" t="s">
        <v>443</v>
      </c>
      <c r="G13" s="11" t="s">
        <v>448</v>
      </c>
      <c r="H13" s="10" t="s">
        <v>445</v>
      </c>
      <c r="I13" s="7" t="s">
        <v>425</v>
      </c>
      <c r="J13" s="11" t="s">
        <v>449</v>
      </c>
    </row>
    <row r="14" customFormat="false" ht="23.85" hidden="false" customHeight="false" outlineLevel="0" collapsed="false">
      <c r="A14" s="6" t="s">
        <v>450</v>
      </c>
      <c r="B14" s="6" t="s">
        <v>441</v>
      </c>
      <c r="C14" s="8" t="s">
        <v>451</v>
      </c>
      <c r="D14" s="6" t="s">
        <v>365</v>
      </c>
      <c r="E14" s="6" t="n">
        <v>16</v>
      </c>
      <c r="F14" s="8" t="s">
        <v>443</v>
      </c>
      <c r="G14" s="8" t="s">
        <v>444</v>
      </c>
      <c r="H14" s="6" t="s">
        <v>445</v>
      </c>
      <c r="I14" s="12" t="s">
        <v>452</v>
      </c>
      <c r="J14" s="8" t="s">
        <v>453</v>
      </c>
    </row>
    <row r="15" customFormat="false" ht="23.85" hidden="false" customHeight="false" outlineLevel="0" collapsed="false">
      <c r="A15" s="10" t="s">
        <v>92</v>
      </c>
      <c r="B15" s="10" t="s">
        <v>441</v>
      </c>
      <c r="C15" s="11" t="s">
        <v>454</v>
      </c>
      <c r="D15" s="10" t="s">
        <v>365</v>
      </c>
      <c r="E15" s="10" t="n">
        <v>16</v>
      </c>
      <c r="F15" s="11" t="s">
        <v>443</v>
      </c>
      <c r="G15" s="11" t="s">
        <v>455</v>
      </c>
      <c r="H15" s="10" t="s">
        <v>445</v>
      </c>
      <c r="I15" s="14" t="s">
        <v>397</v>
      </c>
      <c r="J15" s="11" t="s">
        <v>456</v>
      </c>
    </row>
    <row r="16" customFormat="false" ht="15" hidden="false" customHeight="false" outlineLevel="0" collapsed="false">
      <c r="A16" s="6" t="s">
        <v>457</v>
      </c>
      <c r="B16" s="6" t="s">
        <v>441</v>
      </c>
      <c r="C16" s="8" t="s">
        <v>458</v>
      </c>
      <c r="D16" s="6" t="s">
        <v>325</v>
      </c>
      <c r="E16" s="6" t="n">
        <v>18</v>
      </c>
      <c r="F16" s="8" t="s">
        <v>459</v>
      </c>
      <c r="G16" s="8" t="s">
        <v>460</v>
      </c>
      <c r="H16" s="6" t="s">
        <v>403</v>
      </c>
      <c r="I16" s="7" t="s">
        <v>425</v>
      </c>
      <c r="J16" s="8" t="s">
        <v>461</v>
      </c>
    </row>
    <row r="17" customFormat="false" ht="23.85" hidden="false" customHeight="false" outlineLevel="0" collapsed="false">
      <c r="A17" s="10" t="s">
        <v>139</v>
      </c>
      <c r="B17" s="10" t="s">
        <v>462</v>
      </c>
      <c r="C17" s="11" t="s">
        <v>463</v>
      </c>
      <c r="D17" s="10" t="s">
        <v>371</v>
      </c>
      <c r="E17" s="10" t="n">
        <v>16</v>
      </c>
      <c r="F17" s="11" t="s">
        <v>464</v>
      </c>
      <c r="G17" s="11" t="s">
        <v>465</v>
      </c>
      <c r="H17" s="10" t="s">
        <v>466</v>
      </c>
      <c r="I17" s="7" t="s">
        <v>425</v>
      </c>
      <c r="J17" s="11" t="s">
        <v>467</v>
      </c>
    </row>
    <row r="18" customFormat="false" ht="23.85" hidden="false" customHeight="false" outlineLevel="0" collapsed="false">
      <c r="A18" s="6" t="s">
        <v>144</v>
      </c>
      <c r="B18" s="6" t="s">
        <v>462</v>
      </c>
      <c r="C18" s="8" t="s">
        <v>468</v>
      </c>
      <c r="D18" s="6" t="s">
        <v>325</v>
      </c>
      <c r="E18" s="6" t="n">
        <v>14</v>
      </c>
      <c r="F18" s="8" t="s">
        <v>401</v>
      </c>
      <c r="G18" s="8" t="s">
        <v>469</v>
      </c>
      <c r="H18" s="6" t="s">
        <v>470</v>
      </c>
      <c r="I18" s="14" t="s">
        <v>471</v>
      </c>
      <c r="J18" s="8" t="s">
        <v>472</v>
      </c>
    </row>
    <row r="19" customFormat="false" ht="23.85" hidden="false" customHeight="false" outlineLevel="0" collapsed="false">
      <c r="A19" s="10" t="s">
        <v>85</v>
      </c>
      <c r="B19" s="10" t="s">
        <v>473</v>
      </c>
      <c r="C19" s="11" t="s">
        <v>474</v>
      </c>
      <c r="D19" s="10" t="s">
        <v>325</v>
      </c>
      <c r="E19" s="10" t="n">
        <v>16</v>
      </c>
      <c r="F19" s="11" t="s">
        <v>414</v>
      </c>
      <c r="G19" s="11" t="s">
        <v>475</v>
      </c>
      <c r="H19" s="10" t="s">
        <v>403</v>
      </c>
      <c r="I19" s="14" t="s">
        <v>397</v>
      </c>
      <c r="J19" s="11" t="s">
        <v>476</v>
      </c>
    </row>
    <row r="20" customFormat="false" ht="15" hidden="false" customHeight="false" outlineLevel="0" collapsed="false">
      <c r="A20" s="6" t="s">
        <v>477</v>
      </c>
      <c r="B20" s="6" t="s">
        <v>478</v>
      </c>
      <c r="C20" s="8" t="s">
        <v>479</v>
      </c>
      <c r="D20" s="6" t="s">
        <v>325</v>
      </c>
      <c r="E20" s="6" t="n">
        <v>10</v>
      </c>
      <c r="F20" s="8" t="s">
        <v>480</v>
      </c>
      <c r="G20" s="8" t="s">
        <v>481</v>
      </c>
      <c r="H20" s="6" t="s">
        <v>403</v>
      </c>
      <c r="I20" s="14" t="s">
        <v>397</v>
      </c>
      <c r="J20" s="8" t="s">
        <v>482</v>
      </c>
    </row>
    <row r="21" customFormat="false" ht="23.85" hidden="false" customHeight="false" outlineLevel="0" collapsed="false">
      <c r="A21" s="10" t="s">
        <v>483</v>
      </c>
      <c r="B21" s="10" t="s">
        <v>478</v>
      </c>
      <c r="C21" s="11" t="s">
        <v>484</v>
      </c>
      <c r="D21" s="10" t="s">
        <v>128</v>
      </c>
      <c r="E21" s="10" t="n">
        <v>10</v>
      </c>
      <c r="F21" s="11" t="s">
        <v>485</v>
      </c>
      <c r="G21" s="11" t="s">
        <v>486</v>
      </c>
      <c r="H21" s="10" t="s">
        <v>487</v>
      </c>
      <c r="I21" s="14" t="s">
        <v>471</v>
      </c>
      <c r="J21" s="11" t="s">
        <v>488</v>
      </c>
    </row>
  </sheetData>
  <autoFilter ref="A1:J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6"/>
    <col collapsed="false" customWidth="true" hidden="false" outlineLevel="0" max="3" min="3" style="0" width="18"/>
    <col collapsed="false" customWidth="true" hidden="false" outlineLevel="0" max="4" min="4" style="0" width="11"/>
    <col collapsed="false" customWidth="true" hidden="false" outlineLevel="0" max="5" min="5" style="0" width="13"/>
    <col collapsed="false" customWidth="true" hidden="false" outlineLevel="0" max="6" min="6" style="0" width="66"/>
    <col collapsed="false" customWidth="true" hidden="false" outlineLevel="0" max="7" min="7" style="0" width="11"/>
    <col collapsed="false" customWidth="true" hidden="false" outlineLevel="0" max="8" min="8" style="0" width="28"/>
  </cols>
  <sheetData>
    <row r="1" customFormat="false" ht="31.5" hidden="false" customHeight="true" outlineLevel="0" collapsed="false">
      <c r="A1" s="5" t="s">
        <v>26</v>
      </c>
      <c r="B1" s="5" t="s">
        <v>489</v>
      </c>
      <c r="C1" s="5" t="s">
        <v>490</v>
      </c>
      <c r="D1" s="5" t="s">
        <v>491</v>
      </c>
      <c r="E1" s="5" t="s">
        <v>492</v>
      </c>
      <c r="F1" s="5" t="s">
        <v>493</v>
      </c>
      <c r="G1" s="5" t="s">
        <v>494</v>
      </c>
      <c r="H1" s="5" t="s">
        <v>495</v>
      </c>
    </row>
    <row r="2" customFormat="false" ht="23.85" hidden="false" customHeight="false" outlineLevel="0" collapsed="false">
      <c r="A2" s="6" t="s">
        <v>391</v>
      </c>
      <c r="B2" s="8" t="s">
        <v>496</v>
      </c>
      <c r="C2" s="13" t="s">
        <v>497</v>
      </c>
      <c r="D2" s="14" t="s">
        <v>498</v>
      </c>
      <c r="E2" s="14" t="s">
        <v>499</v>
      </c>
      <c r="F2" s="8" t="s">
        <v>500</v>
      </c>
      <c r="G2" s="9" t="s">
        <v>501</v>
      </c>
      <c r="H2" s="8" t="s">
        <v>502</v>
      </c>
    </row>
    <row r="3" customFormat="false" ht="23.85" hidden="false" customHeight="false" outlineLevel="0" collapsed="false">
      <c r="A3" s="10" t="s">
        <v>391</v>
      </c>
      <c r="B3" s="11" t="s">
        <v>503</v>
      </c>
      <c r="C3" s="13" t="s">
        <v>497</v>
      </c>
      <c r="D3" s="14" t="s">
        <v>498</v>
      </c>
      <c r="E3" s="14" t="s">
        <v>499</v>
      </c>
      <c r="F3" s="11" t="s">
        <v>504</v>
      </c>
      <c r="G3" s="9" t="s">
        <v>501</v>
      </c>
      <c r="H3" s="11" t="s">
        <v>502</v>
      </c>
    </row>
    <row r="4" customFormat="false" ht="23.85" hidden="false" customHeight="false" outlineLevel="0" collapsed="false">
      <c r="A4" s="6" t="s">
        <v>391</v>
      </c>
      <c r="B4" s="8" t="s">
        <v>505</v>
      </c>
      <c r="C4" s="13" t="s">
        <v>497</v>
      </c>
      <c r="D4" s="14" t="s">
        <v>498</v>
      </c>
      <c r="E4" s="14" t="s">
        <v>499</v>
      </c>
      <c r="F4" s="8" t="s">
        <v>506</v>
      </c>
      <c r="G4" s="9" t="s">
        <v>501</v>
      </c>
      <c r="H4" s="8" t="s">
        <v>502</v>
      </c>
    </row>
    <row r="5" customFormat="false" ht="23.85" hidden="false" customHeight="false" outlineLevel="0" collapsed="false">
      <c r="A5" s="10" t="s">
        <v>399</v>
      </c>
      <c r="B5" s="11" t="s">
        <v>507</v>
      </c>
      <c r="C5" s="14" t="s">
        <v>508</v>
      </c>
      <c r="D5" s="14" t="s">
        <v>498</v>
      </c>
      <c r="E5" s="14" t="s">
        <v>499</v>
      </c>
      <c r="F5" s="11" t="s">
        <v>509</v>
      </c>
      <c r="G5" s="9" t="s">
        <v>501</v>
      </c>
      <c r="H5" s="11" t="s">
        <v>502</v>
      </c>
    </row>
    <row r="6" customFormat="false" ht="23.85" hidden="false" customHeight="false" outlineLevel="0" collapsed="false">
      <c r="A6" s="6" t="s">
        <v>399</v>
      </c>
      <c r="B6" s="8" t="s">
        <v>510</v>
      </c>
      <c r="C6" s="14" t="s">
        <v>508</v>
      </c>
      <c r="D6" s="14" t="s">
        <v>498</v>
      </c>
      <c r="E6" s="14" t="s">
        <v>499</v>
      </c>
      <c r="F6" s="8" t="s">
        <v>511</v>
      </c>
      <c r="G6" s="9" t="s">
        <v>501</v>
      </c>
      <c r="H6" s="8" t="s">
        <v>502</v>
      </c>
    </row>
    <row r="7" customFormat="false" ht="23.85" hidden="false" customHeight="false" outlineLevel="0" collapsed="false">
      <c r="A7" s="10" t="s">
        <v>405</v>
      </c>
      <c r="B7" s="11" t="s">
        <v>512</v>
      </c>
      <c r="C7" s="13" t="s">
        <v>497</v>
      </c>
      <c r="D7" s="14" t="s">
        <v>498</v>
      </c>
      <c r="E7" s="14" t="s">
        <v>499</v>
      </c>
      <c r="F7" s="11" t="s">
        <v>513</v>
      </c>
      <c r="G7" s="9" t="s">
        <v>501</v>
      </c>
      <c r="H7" s="11" t="s">
        <v>502</v>
      </c>
    </row>
    <row r="8" customFormat="false" ht="23.85" hidden="false" customHeight="false" outlineLevel="0" collapsed="false">
      <c r="A8" s="6" t="s">
        <v>405</v>
      </c>
      <c r="B8" s="8" t="s">
        <v>514</v>
      </c>
      <c r="C8" s="13" t="s">
        <v>497</v>
      </c>
      <c r="D8" s="14" t="s">
        <v>498</v>
      </c>
      <c r="E8" s="14" t="s">
        <v>499</v>
      </c>
      <c r="F8" s="8" t="s">
        <v>515</v>
      </c>
      <c r="G8" s="9" t="s">
        <v>501</v>
      </c>
      <c r="H8" s="8" t="s">
        <v>502</v>
      </c>
    </row>
    <row r="9" customFormat="false" ht="23.85" hidden="false" customHeight="false" outlineLevel="0" collapsed="false">
      <c r="A9" s="10" t="s">
        <v>409</v>
      </c>
      <c r="B9" s="11" t="s">
        <v>516</v>
      </c>
      <c r="C9" s="14" t="s">
        <v>508</v>
      </c>
      <c r="D9" s="14" t="s">
        <v>498</v>
      </c>
      <c r="E9" s="14" t="s">
        <v>499</v>
      </c>
      <c r="F9" s="11" t="s">
        <v>517</v>
      </c>
      <c r="G9" s="9" t="s">
        <v>501</v>
      </c>
      <c r="H9" s="11" t="s">
        <v>502</v>
      </c>
    </row>
    <row r="10" customFormat="false" ht="23.85" hidden="false" customHeight="false" outlineLevel="0" collapsed="false">
      <c r="A10" s="6" t="s">
        <v>409</v>
      </c>
      <c r="B10" s="8" t="s">
        <v>518</v>
      </c>
      <c r="C10" s="14" t="s">
        <v>508</v>
      </c>
      <c r="D10" s="14" t="s">
        <v>498</v>
      </c>
      <c r="E10" s="14" t="s">
        <v>499</v>
      </c>
      <c r="F10" s="8" t="s">
        <v>519</v>
      </c>
      <c r="G10" s="9" t="s">
        <v>501</v>
      </c>
      <c r="H10" s="8" t="s">
        <v>502</v>
      </c>
    </row>
    <row r="11" customFormat="false" ht="23.85" hidden="false" customHeight="false" outlineLevel="0" collapsed="false">
      <c r="A11" s="10" t="s">
        <v>412</v>
      </c>
      <c r="B11" s="11" t="s">
        <v>520</v>
      </c>
      <c r="C11" s="13" t="s">
        <v>497</v>
      </c>
      <c r="D11" s="14" t="s">
        <v>498</v>
      </c>
      <c r="E11" s="14" t="s">
        <v>499</v>
      </c>
      <c r="F11" s="11" t="s">
        <v>521</v>
      </c>
      <c r="G11" s="9" t="s">
        <v>501</v>
      </c>
      <c r="H11" s="11" t="s">
        <v>502</v>
      </c>
    </row>
    <row r="12" customFormat="false" ht="23.85" hidden="false" customHeight="false" outlineLevel="0" collapsed="false">
      <c r="A12" s="6" t="s">
        <v>412</v>
      </c>
      <c r="B12" s="8" t="s">
        <v>522</v>
      </c>
      <c r="C12" s="13" t="s">
        <v>497</v>
      </c>
      <c r="D12" s="14" t="s">
        <v>498</v>
      </c>
      <c r="E12" s="14" t="s">
        <v>499</v>
      </c>
      <c r="F12" s="8" t="s">
        <v>523</v>
      </c>
      <c r="G12" s="9" t="s">
        <v>501</v>
      </c>
      <c r="H12" s="8" t="s">
        <v>502</v>
      </c>
    </row>
    <row r="13" customFormat="false" ht="23.85" hidden="false" customHeight="false" outlineLevel="0" collapsed="false">
      <c r="A13" s="10" t="s">
        <v>412</v>
      </c>
      <c r="B13" s="11" t="s">
        <v>524</v>
      </c>
      <c r="C13" s="13" t="s">
        <v>497</v>
      </c>
      <c r="D13" s="14" t="s">
        <v>498</v>
      </c>
      <c r="E13" s="14" t="s">
        <v>499</v>
      </c>
      <c r="F13" s="11" t="s">
        <v>525</v>
      </c>
      <c r="G13" s="9" t="s">
        <v>501</v>
      </c>
      <c r="H13" s="11" t="s">
        <v>502</v>
      </c>
    </row>
    <row r="14" customFormat="false" ht="23.85" hidden="false" customHeight="false" outlineLevel="0" collapsed="false">
      <c r="A14" s="6" t="s">
        <v>412</v>
      </c>
      <c r="B14" s="8" t="s">
        <v>526</v>
      </c>
      <c r="C14" s="13" t="s">
        <v>497</v>
      </c>
      <c r="D14" s="14" t="s">
        <v>498</v>
      </c>
      <c r="E14" s="14" t="s">
        <v>499</v>
      </c>
      <c r="F14" s="8" t="s">
        <v>527</v>
      </c>
      <c r="G14" s="9" t="s">
        <v>501</v>
      </c>
      <c r="H14" s="8" t="s">
        <v>502</v>
      </c>
    </row>
    <row r="15" customFormat="false" ht="15" hidden="false" customHeight="false" outlineLevel="0" collapsed="false">
      <c r="A15" s="10" t="s">
        <v>416</v>
      </c>
      <c r="B15" s="11" t="s">
        <v>528</v>
      </c>
      <c r="C15" s="14" t="s">
        <v>508</v>
      </c>
      <c r="D15" s="14" t="s">
        <v>498</v>
      </c>
      <c r="E15" s="14" t="s">
        <v>529</v>
      </c>
      <c r="F15" s="11" t="s">
        <v>530</v>
      </c>
      <c r="G15" s="9" t="s">
        <v>531</v>
      </c>
      <c r="H15" s="11" t="s">
        <v>532</v>
      </c>
    </row>
    <row r="16" customFormat="false" ht="15" hidden="false" customHeight="false" outlineLevel="0" collapsed="false">
      <c r="A16" s="6" t="s">
        <v>416</v>
      </c>
      <c r="B16" s="8" t="s">
        <v>533</v>
      </c>
      <c r="C16" s="14" t="s">
        <v>508</v>
      </c>
      <c r="D16" s="14" t="s">
        <v>498</v>
      </c>
      <c r="E16" s="14" t="s">
        <v>529</v>
      </c>
      <c r="F16" s="8" t="s">
        <v>534</v>
      </c>
      <c r="G16" s="9" t="s">
        <v>531</v>
      </c>
      <c r="H16" s="8" t="s">
        <v>532</v>
      </c>
    </row>
    <row r="17" customFormat="false" ht="35.05" hidden="false" customHeight="false" outlineLevel="0" collapsed="false">
      <c r="A17" s="10" t="s">
        <v>416</v>
      </c>
      <c r="B17" s="11" t="s">
        <v>535</v>
      </c>
      <c r="C17" s="7" t="s">
        <v>536</v>
      </c>
      <c r="D17" s="14" t="s">
        <v>498</v>
      </c>
      <c r="E17" s="7" t="s">
        <v>425</v>
      </c>
      <c r="F17" s="11" t="s">
        <v>537</v>
      </c>
      <c r="G17" s="9" t="s">
        <v>501</v>
      </c>
      <c r="H17" s="11" t="s">
        <v>538</v>
      </c>
    </row>
    <row r="18" customFormat="false" ht="23.85" hidden="false" customHeight="false" outlineLevel="0" collapsed="false">
      <c r="A18" s="6" t="s">
        <v>416</v>
      </c>
      <c r="B18" s="8" t="s">
        <v>539</v>
      </c>
      <c r="C18" s="13" t="s">
        <v>497</v>
      </c>
      <c r="D18" s="14" t="s">
        <v>498</v>
      </c>
      <c r="E18" s="14" t="s">
        <v>499</v>
      </c>
      <c r="F18" s="8" t="s">
        <v>540</v>
      </c>
      <c r="G18" s="9" t="s">
        <v>501</v>
      </c>
      <c r="H18" s="8" t="s">
        <v>502</v>
      </c>
    </row>
    <row r="19" customFormat="false" ht="23.85" hidden="false" customHeight="false" outlineLevel="0" collapsed="false">
      <c r="A19" s="10" t="s">
        <v>71</v>
      </c>
      <c r="B19" s="11" t="s">
        <v>541</v>
      </c>
      <c r="C19" s="14" t="s">
        <v>508</v>
      </c>
      <c r="D19" s="14" t="s">
        <v>498</v>
      </c>
      <c r="E19" s="14" t="s">
        <v>499</v>
      </c>
      <c r="F19" s="11" t="s">
        <v>542</v>
      </c>
      <c r="G19" s="9" t="s">
        <v>501</v>
      </c>
      <c r="H19" s="11" t="s">
        <v>502</v>
      </c>
    </row>
    <row r="20" customFormat="false" ht="23.85" hidden="false" customHeight="false" outlineLevel="0" collapsed="false">
      <c r="A20" s="6" t="s">
        <v>71</v>
      </c>
      <c r="B20" s="8" t="s">
        <v>543</v>
      </c>
      <c r="C20" s="13" t="s">
        <v>497</v>
      </c>
      <c r="D20" s="14" t="s">
        <v>498</v>
      </c>
      <c r="E20" s="14" t="s">
        <v>499</v>
      </c>
      <c r="F20" s="8" t="s">
        <v>544</v>
      </c>
      <c r="G20" s="9" t="s">
        <v>501</v>
      </c>
      <c r="H20" s="8" t="s">
        <v>502</v>
      </c>
    </row>
    <row r="21" customFormat="false" ht="35.05" hidden="false" customHeight="false" outlineLevel="0" collapsed="false">
      <c r="A21" s="10" t="s">
        <v>71</v>
      </c>
      <c r="B21" s="11" t="s">
        <v>545</v>
      </c>
      <c r="C21" s="7" t="s">
        <v>546</v>
      </c>
      <c r="D21" s="14" t="s">
        <v>498</v>
      </c>
      <c r="E21" s="7" t="s">
        <v>425</v>
      </c>
      <c r="F21" s="11" t="s">
        <v>547</v>
      </c>
      <c r="G21" s="9" t="s">
        <v>501</v>
      </c>
      <c r="H21" s="11" t="s">
        <v>538</v>
      </c>
    </row>
    <row r="22" customFormat="false" ht="23.85" hidden="false" customHeight="false" outlineLevel="0" collapsed="false">
      <c r="A22" s="6" t="s">
        <v>71</v>
      </c>
      <c r="B22" s="8" t="s">
        <v>548</v>
      </c>
      <c r="C22" s="13" t="s">
        <v>497</v>
      </c>
      <c r="D22" s="14" t="s">
        <v>498</v>
      </c>
      <c r="E22" s="14" t="s">
        <v>499</v>
      </c>
      <c r="F22" s="8" t="s">
        <v>549</v>
      </c>
      <c r="G22" s="9" t="s">
        <v>501</v>
      </c>
      <c r="H22" s="8" t="s">
        <v>502</v>
      </c>
    </row>
    <row r="23" customFormat="false" ht="23.85" hidden="false" customHeight="false" outlineLevel="0" collapsed="false">
      <c r="A23" s="10" t="s">
        <v>427</v>
      </c>
      <c r="B23" s="11" t="s">
        <v>550</v>
      </c>
      <c r="C23" s="13" t="s">
        <v>497</v>
      </c>
      <c r="D23" s="14" t="s">
        <v>498</v>
      </c>
      <c r="E23" s="14" t="s">
        <v>499</v>
      </c>
      <c r="F23" s="11" t="s">
        <v>551</v>
      </c>
      <c r="G23" s="9" t="s">
        <v>501</v>
      </c>
      <c r="H23" s="11" t="s">
        <v>502</v>
      </c>
    </row>
    <row r="24" customFormat="false" ht="35.05" hidden="false" customHeight="false" outlineLevel="0" collapsed="false">
      <c r="A24" s="6" t="s">
        <v>427</v>
      </c>
      <c r="B24" s="8" t="s">
        <v>552</v>
      </c>
      <c r="C24" s="7" t="s">
        <v>536</v>
      </c>
      <c r="D24" s="14" t="s">
        <v>498</v>
      </c>
      <c r="E24" s="7" t="s">
        <v>425</v>
      </c>
      <c r="F24" s="8" t="s">
        <v>553</v>
      </c>
      <c r="G24" s="9" t="s">
        <v>501</v>
      </c>
      <c r="H24" s="8" t="s">
        <v>538</v>
      </c>
    </row>
    <row r="25" customFormat="false" ht="23.85" hidden="false" customHeight="false" outlineLevel="0" collapsed="false">
      <c r="A25" s="10" t="s">
        <v>427</v>
      </c>
      <c r="B25" s="11" t="s">
        <v>548</v>
      </c>
      <c r="C25" s="13" t="s">
        <v>497</v>
      </c>
      <c r="D25" s="14" t="s">
        <v>498</v>
      </c>
      <c r="E25" s="14" t="s">
        <v>499</v>
      </c>
      <c r="F25" s="11" t="s">
        <v>554</v>
      </c>
      <c r="G25" s="9" t="s">
        <v>501</v>
      </c>
      <c r="H25" s="11" t="s">
        <v>502</v>
      </c>
    </row>
    <row r="26" customFormat="false" ht="23.85" hidden="false" customHeight="false" outlineLevel="0" collapsed="false">
      <c r="A26" s="6" t="s">
        <v>431</v>
      </c>
      <c r="B26" s="8" t="s">
        <v>555</v>
      </c>
      <c r="C26" s="14" t="s">
        <v>508</v>
      </c>
      <c r="D26" s="14" t="s">
        <v>498</v>
      </c>
      <c r="E26" s="7" t="s">
        <v>556</v>
      </c>
      <c r="F26" s="8" t="s">
        <v>557</v>
      </c>
      <c r="G26" s="9" t="s">
        <v>558</v>
      </c>
      <c r="H26" s="8" t="s">
        <v>559</v>
      </c>
    </row>
    <row r="27" customFormat="false" ht="23.85" hidden="false" customHeight="false" outlineLevel="0" collapsed="false">
      <c r="A27" s="10" t="s">
        <v>431</v>
      </c>
      <c r="B27" s="11" t="s">
        <v>548</v>
      </c>
      <c r="C27" s="13" t="s">
        <v>497</v>
      </c>
      <c r="D27" s="14" t="s">
        <v>498</v>
      </c>
      <c r="E27" s="14" t="s">
        <v>499</v>
      </c>
      <c r="F27" s="11" t="s">
        <v>560</v>
      </c>
      <c r="G27" s="9" t="s">
        <v>501</v>
      </c>
      <c r="H27" s="11" t="s">
        <v>502</v>
      </c>
    </row>
    <row r="28" customFormat="false" ht="23.85" hidden="false" customHeight="false" outlineLevel="0" collapsed="false">
      <c r="A28" s="6" t="s">
        <v>431</v>
      </c>
      <c r="B28" s="8" t="s">
        <v>561</v>
      </c>
      <c r="C28" s="13" t="s">
        <v>497</v>
      </c>
      <c r="D28" s="12" t="s">
        <v>562</v>
      </c>
      <c r="E28" s="12" t="s">
        <v>562</v>
      </c>
      <c r="F28" s="8" t="s">
        <v>563</v>
      </c>
      <c r="G28" s="9" t="s">
        <v>501</v>
      </c>
      <c r="H28" s="8" t="s">
        <v>564</v>
      </c>
    </row>
    <row r="29" customFormat="false" ht="15" hidden="false" customHeight="false" outlineLevel="0" collapsed="false">
      <c r="A29" s="10" t="s">
        <v>121</v>
      </c>
      <c r="B29" s="11" t="s">
        <v>565</v>
      </c>
      <c r="C29" s="14" t="s">
        <v>508</v>
      </c>
      <c r="D29" s="14" t="s">
        <v>498</v>
      </c>
      <c r="E29" s="7" t="s">
        <v>556</v>
      </c>
      <c r="F29" s="11" t="s">
        <v>566</v>
      </c>
      <c r="G29" s="9" t="s">
        <v>558</v>
      </c>
      <c r="H29" s="11" t="s">
        <v>559</v>
      </c>
    </row>
    <row r="30" customFormat="false" ht="15" hidden="false" customHeight="false" outlineLevel="0" collapsed="false">
      <c r="A30" s="6" t="s">
        <v>121</v>
      </c>
      <c r="B30" s="8" t="s">
        <v>567</v>
      </c>
      <c r="C30" s="13" t="s">
        <v>568</v>
      </c>
      <c r="D30" s="14" t="s">
        <v>498</v>
      </c>
      <c r="E30" s="7" t="s">
        <v>556</v>
      </c>
      <c r="F30" s="8" t="s">
        <v>569</v>
      </c>
      <c r="G30" s="9" t="s">
        <v>558</v>
      </c>
      <c r="H30" s="8" t="s">
        <v>559</v>
      </c>
    </row>
    <row r="31" customFormat="false" ht="23.85" hidden="false" customHeight="false" outlineLevel="0" collapsed="false">
      <c r="A31" s="10" t="s">
        <v>121</v>
      </c>
      <c r="B31" s="11" t="s">
        <v>548</v>
      </c>
      <c r="C31" s="13" t="s">
        <v>497</v>
      </c>
      <c r="D31" s="14" t="s">
        <v>498</v>
      </c>
      <c r="E31" s="14" t="s">
        <v>499</v>
      </c>
      <c r="F31" s="11" t="s">
        <v>570</v>
      </c>
      <c r="G31" s="9" t="s">
        <v>501</v>
      </c>
      <c r="H31" s="11" t="s">
        <v>502</v>
      </c>
    </row>
    <row r="32" customFormat="false" ht="35.05" hidden="false" customHeight="false" outlineLevel="0" collapsed="false">
      <c r="A32" s="6" t="s">
        <v>440</v>
      </c>
      <c r="B32" s="8" t="s">
        <v>571</v>
      </c>
      <c r="C32" s="7" t="s">
        <v>572</v>
      </c>
      <c r="D32" s="14" t="s">
        <v>498</v>
      </c>
      <c r="E32" s="7" t="s">
        <v>425</v>
      </c>
      <c r="F32" s="8" t="s">
        <v>573</v>
      </c>
      <c r="G32" s="9" t="s">
        <v>501</v>
      </c>
      <c r="H32" s="8" t="s">
        <v>538</v>
      </c>
    </row>
    <row r="33" customFormat="false" ht="23.85" hidden="false" customHeight="false" outlineLevel="0" collapsed="false">
      <c r="A33" s="10" t="s">
        <v>440</v>
      </c>
      <c r="B33" s="11" t="s">
        <v>574</v>
      </c>
      <c r="C33" s="14" t="s">
        <v>508</v>
      </c>
      <c r="D33" s="14" t="s">
        <v>498</v>
      </c>
      <c r="E33" s="12" t="s">
        <v>575</v>
      </c>
      <c r="F33" s="11" t="s">
        <v>576</v>
      </c>
      <c r="G33" s="9" t="s">
        <v>501</v>
      </c>
      <c r="H33" s="11" t="s">
        <v>564</v>
      </c>
    </row>
    <row r="34" customFormat="false" ht="23.85" hidden="false" customHeight="false" outlineLevel="0" collapsed="false">
      <c r="A34" s="6" t="s">
        <v>440</v>
      </c>
      <c r="B34" s="8" t="s">
        <v>577</v>
      </c>
      <c r="C34" s="13" t="s">
        <v>497</v>
      </c>
      <c r="D34" s="14" t="s">
        <v>498</v>
      </c>
      <c r="E34" s="14" t="s">
        <v>499</v>
      </c>
      <c r="F34" s="8" t="s">
        <v>578</v>
      </c>
      <c r="G34" s="9" t="s">
        <v>501</v>
      </c>
      <c r="H34" s="8" t="s">
        <v>502</v>
      </c>
    </row>
    <row r="35" customFormat="false" ht="35.05" hidden="false" customHeight="false" outlineLevel="0" collapsed="false">
      <c r="A35" s="10" t="s">
        <v>50</v>
      </c>
      <c r="B35" s="11" t="s">
        <v>579</v>
      </c>
      <c r="C35" s="7" t="s">
        <v>580</v>
      </c>
      <c r="D35" s="14" t="s">
        <v>498</v>
      </c>
      <c r="E35" s="7" t="s">
        <v>425</v>
      </c>
      <c r="F35" s="11" t="s">
        <v>581</v>
      </c>
      <c r="G35" s="9" t="s">
        <v>501</v>
      </c>
      <c r="H35" s="11" t="s">
        <v>538</v>
      </c>
    </row>
    <row r="36" customFormat="false" ht="35.05" hidden="false" customHeight="false" outlineLevel="0" collapsed="false">
      <c r="A36" s="6" t="s">
        <v>50</v>
      </c>
      <c r="B36" s="8" t="s">
        <v>582</v>
      </c>
      <c r="C36" s="7" t="s">
        <v>572</v>
      </c>
      <c r="D36" s="14" t="s">
        <v>498</v>
      </c>
      <c r="E36" s="7" t="s">
        <v>425</v>
      </c>
      <c r="F36" s="8" t="s">
        <v>583</v>
      </c>
      <c r="G36" s="9" t="s">
        <v>501</v>
      </c>
      <c r="H36" s="8" t="s">
        <v>538</v>
      </c>
    </row>
    <row r="37" customFormat="false" ht="23.85" hidden="false" customHeight="false" outlineLevel="0" collapsed="false">
      <c r="A37" s="10" t="s">
        <v>50</v>
      </c>
      <c r="B37" s="11" t="s">
        <v>584</v>
      </c>
      <c r="C37" s="7" t="s">
        <v>585</v>
      </c>
      <c r="D37" s="14" t="s">
        <v>498</v>
      </c>
      <c r="E37" s="12" t="s">
        <v>562</v>
      </c>
      <c r="F37" s="11" t="s">
        <v>586</v>
      </c>
      <c r="G37" s="9" t="s">
        <v>501</v>
      </c>
      <c r="H37" s="11" t="s">
        <v>564</v>
      </c>
    </row>
    <row r="38" customFormat="false" ht="23.85" hidden="false" customHeight="false" outlineLevel="0" collapsed="false">
      <c r="A38" s="6" t="s">
        <v>450</v>
      </c>
      <c r="B38" s="8" t="s">
        <v>587</v>
      </c>
      <c r="C38" s="12" t="s">
        <v>588</v>
      </c>
      <c r="D38" s="14" t="s">
        <v>498</v>
      </c>
      <c r="E38" s="12" t="s">
        <v>562</v>
      </c>
      <c r="F38" s="8" t="s">
        <v>589</v>
      </c>
      <c r="G38" s="9" t="s">
        <v>501</v>
      </c>
      <c r="H38" s="8" t="s">
        <v>564</v>
      </c>
    </row>
    <row r="39" customFormat="false" ht="23.85" hidden="false" customHeight="false" outlineLevel="0" collapsed="false">
      <c r="A39" s="10" t="s">
        <v>450</v>
      </c>
      <c r="B39" s="11" t="s">
        <v>590</v>
      </c>
      <c r="C39" s="14" t="s">
        <v>508</v>
      </c>
      <c r="D39" s="14" t="s">
        <v>498</v>
      </c>
      <c r="E39" s="14" t="s">
        <v>499</v>
      </c>
      <c r="F39" s="11" t="s">
        <v>591</v>
      </c>
      <c r="G39" s="9" t="s">
        <v>501</v>
      </c>
      <c r="H39" s="11" t="s">
        <v>502</v>
      </c>
    </row>
    <row r="40" customFormat="false" ht="23.85" hidden="false" customHeight="false" outlineLevel="0" collapsed="false">
      <c r="A40" s="6" t="s">
        <v>92</v>
      </c>
      <c r="B40" s="8" t="s">
        <v>592</v>
      </c>
      <c r="C40" s="14" t="s">
        <v>508</v>
      </c>
      <c r="D40" s="14" t="s">
        <v>498</v>
      </c>
      <c r="E40" s="14" t="s">
        <v>499</v>
      </c>
      <c r="F40" s="8" t="s">
        <v>593</v>
      </c>
      <c r="G40" s="9" t="s">
        <v>501</v>
      </c>
      <c r="H40" s="8" t="s">
        <v>502</v>
      </c>
    </row>
    <row r="41" customFormat="false" ht="23.85" hidden="false" customHeight="false" outlineLevel="0" collapsed="false">
      <c r="A41" s="10" t="s">
        <v>92</v>
      </c>
      <c r="B41" s="11" t="s">
        <v>594</v>
      </c>
      <c r="C41" s="13" t="s">
        <v>497</v>
      </c>
      <c r="D41" s="14" t="s">
        <v>498</v>
      </c>
      <c r="E41" s="14" t="s">
        <v>499</v>
      </c>
      <c r="F41" s="11" t="s">
        <v>595</v>
      </c>
      <c r="G41" s="9" t="s">
        <v>501</v>
      </c>
      <c r="H41" s="11" t="s">
        <v>502</v>
      </c>
    </row>
    <row r="42" customFormat="false" ht="23.85" hidden="false" customHeight="false" outlineLevel="0" collapsed="false">
      <c r="A42" s="6" t="s">
        <v>92</v>
      </c>
      <c r="B42" s="8" t="s">
        <v>596</v>
      </c>
      <c r="C42" s="14" t="s">
        <v>508</v>
      </c>
      <c r="D42" s="14" t="s">
        <v>498</v>
      </c>
      <c r="E42" s="14" t="s">
        <v>499</v>
      </c>
      <c r="F42" s="8" t="s">
        <v>597</v>
      </c>
      <c r="G42" s="9" t="s">
        <v>501</v>
      </c>
      <c r="H42" s="8" t="s">
        <v>502</v>
      </c>
    </row>
    <row r="43" customFormat="false" ht="23.85" hidden="false" customHeight="false" outlineLevel="0" collapsed="false">
      <c r="A43" s="10" t="s">
        <v>457</v>
      </c>
      <c r="B43" s="11" t="s">
        <v>598</v>
      </c>
      <c r="C43" s="14" t="s">
        <v>508</v>
      </c>
      <c r="D43" s="14" t="s">
        <v>498</v>
      </c>
      <c r="E43" s="14" t="s">
        <v>499</v>
      </c>
      <c r="F43" s="11" t="s">
        <v>599</v>
      </c>
      <c r="G43" s="9" t="s">
        <v>501</v>
      </c>
      <c r="H43" s="11" t="s">
        <v>502</v>
      </c>
    </row>
    <row r="44" customFormat="false" ht="23.85" hidden="false" customHeight="false" outlineLevel="0" collapsed="false">
      <c r="A44" s="6" t="s">
        <v>457</v>
      </c>
      <c r="B44" s="8" t="s">
        <v>600</v>
      </c>
      <c r="C44" s="13" t="s">
        <v>497</v>
      </c>
      <c r="D44" s="14" t="s">
        <v>498</v>
      </c>
      <c r="E44" s="14" t="s">
        <v>499</v>
      </c>
      <c r="F44" s="8" t="s">
        <v>601</v>
      </c>
      <c r="G44" s="9" t="s">
        <v>501</v>
      </c>
      <c r="H44" s="8" t="s">
        <v>502</v>
      </c>
    </row>
    <row r="45" customFormat="false" ht="35.05" hidden="false" customHeight="false" outlineLevel="0" collapsed="false">
      <c r="A45" s="10" t="s">
        <v>457</v>
      </c>
      <c r="B45" s="11" t="s">
        <v>602</v>
      </c>
      <c r="C45" s="7" t="s">
        <v>572</v>
      </c>
      <c r="D45" s="14" t="s">
        <v>498</v>
      </c>
      <c r="E45" s="7" t="s">
        <v>425</v>
      </c>
      <c r="F45" s="11" t="s">
        <v>603</v>
      </c>
      <c r="G45" s="9" t="s">
        <v>501</v>
      </c>
      <c r="H45" s="11" t="s">
        <v>538</v>
      </c>
    </row>
    <row r="46" customFormat="false" ht="15" hidden="false" customHeight="false" outlineLevel="0" collapsed="false">
      <c r="A46" s="6" t="s">
        <v>139</v>
      </c>
      <c r="B46" s="8" t="s">
        <v>604</v>
      </c>
      <c r="C46" s="14" t="s">
        <v>508</v>
      </c>
      <c r="D46" s="14" t="s">
        <v>498</v>
      </c>
      <c r="E46" s="7" t="s">
        <v>556</v>
      </c>
      <c r="F46" s="8" t="s">
        <v>605</v>
      </c>
      <c r="G46" s="9" t="s">
        <v>558</v>
      </c>
      <c r="H46" s="8" t="s">
        <v>559</v>
      </c>
    </row>
    <row r="47" customFormat="false" ht="23.85" hidden="false" customHeight="false" outlineLevel="0" collapsed="false">
      <c r="A47" s="10" t="s">
        <v>139</v>
      </c>
      <c r="B47" s="11" t="s">
        <v>606</v>
      </c>
      <c r="C47" s="14" t="s">
        <v>508</v>
      </c>
      <c r="D47" s="14" t="s">
        <v>498</v>
      </c>
      <c r="E47" s="14" t="s">
        <v>499</v>
      </c>
      <c r="F47" s="11" t="s">
        <v>607</v>
      </c>
      <c r="G47" s="9" t="s">
        <v>501</v>
      </c>
      <c r="H47" s="11" t="s">
        <v>502</v>
      </c>
    </row>
    <row r="48" customFormat="false" ht="23.85" hidden="false" customHeight="false" outlineLevel="0" collapsed="false">
      <c r="A48" s="6" t="s">
        <v>139</v>
      </c>
      <c r="B48" s="8" t="s">
        <v>608</v>
      </c>
      <c r="C48" s="13" t="s">
        <v>497</v>
      </c>
      <c r="D48" s="14" t="s">
        <v>498</v>
      </c>
      <c r="E48" s="14" t="s">
        <v>499</v>
      </c>
      <c r="F48" s="8" t="s">
        <v>609</v>
      </c>
      <c r="G48" s="9" t="s">
        <v>501</v>
      </c>
      <c r="H48" s="8" t="s">
        <v>502</v>
      </c>
    </row>
    <row r="49" customFormat="false" ht="23.85" hidden="false" customHeight="false" outlineLevel="0" collapsed="false">
      <c r="A49" s="10" t="s">
        <v>144</v>
      </c>
      <c r="B49" s="11" t="s">
        <v>610</v>
      </c>
      <c r="C49" s="12" t="s">
        <v>611</v>
      </c>
      <c r="D49" s="14" t="s">
        <v>498</v>
      </c>
      <c r="E49" s="12" t="s">
        <v>588</v>
      </c>
      <c r="F49" s="11" t="s">
        <v>612</v>
      </c>
      <c r="G49" s="9" t="s">
        <v>501</v>
      </c>
      <c r="H49" s="11" t="s">
        <v>564</v>
      </c>
    </row>
    <row r="50" customFormat="false" ht="15" hidden="false" customHeight="false" outlineLevel="0" collapsed="false">
      <c r="A50" s="6" t="s">
        <v>144</v>
      </c>
      <c r="B50" s="8" t="s">
        <v>613</v>
      </c>
      <c r="C50" s="14" t="s">
        <v>508</v>
      </c>
      <c r="D50" s="14" t="s">
        <v>498</v>
      </c>
      <c r="E50" s="14" t="s">
        <v>529</v>
      </c>
      <c r="F50" s="8" t="s">
        <v>530</v>
      </c>
      <c r="G50" s="9" t="s">
        <v>531</v>
      </c>
      <c r="H50" s="8" t="s">
        <v>532</v>
      </c>
    </row>
    <row r="51" customFormat="false" ht="15" hidden="false" customHeight="false" outlineLevel="0" collapsed="false">
      <c r="A51" s="10" t="s">
        <v>144</v>
      </c>
      <c r="B51" s="11" t="s">
        <v>614</v>
      </c>
      <c r="C51" s="14" t="s">
        <v>508</v>
      </c>
      <c r="D51" s="14" t="s">
        <v>498</v>
      </c>
      <c r="E51" s="14" t="s">
        <v>529</v>
      </c>
      <c r="F51" s="11" t="s">
        <v>615</v>
      </c>
      <c r="G51" s="9" t="s">
        <v>531</v>
      </c>
      <c r="H51" s="11" t="s">
        <v>532</v>
      </c>
    </row>
    <row r="52" customFormat="false" ht="23.85" hidden="false" customHeight="false" outlineLevel="0" collapsed="false">
      <c r="A52" s="6" t="s">
        <v>85</v>
      </c>
      <c r="B52" s="8" t="s">
        <v>616</v>
      </c>
      <c r="C52" s="7" t="s">
        <v>617</v>
      </c>
      <c r="D52" s="14" t="s">
        <v>498</v>
      </c>
      <c r="E52" s="14" t="s">
        <v>499</v>
      </c>
      <c r="F52" s="8" t="s">
        <v>618</v>
      </c>
      <c r="G52" s="9" t="s">
        <v>501</v>
      </c>
      <c r="H52" s="8" t="s">
        <v>502</v>
      </c>
    </row>
    <row r="53" customFormat="false" ht="23.85" hidden="false" customHeight="false" outlineLevel="0" collapsed="false">
      <c r="A53" s="10" t="s">
        <v>85</v>
      </c>
      <c r="B53" s="11" t="s">
        <v>619</v>
      </c>
      <c r="C53" s="7" t="s">
        <v>617</v>
      </c>
      <c r="D53" s="14" t="s">
        <v>498</v>
      </c>
      <c r="E53" s="14" t="s">
        <v>499</v>
      </c>
      <c r="F53" s="11" t="s">
        <v>620</v>
      </c>
      <c r="G53" s="9" t="s">
        <v>501</v>
      </c>
      <c r="H53" s="11" t="s">
        <v>502</v>
      </c>
    </row>
    <row r="54" customFormat="false" ht="23.85" hidden="false" customHeight="false" outlineLevel="0" collapsed="false">
      <c r="A54" s="6" t="s">
        <v>477</v>
      </c>
      <c r="B54" s="8" t="s">
        <v>621</v>
      </c>
      <c r="C54" s="13" t="s">
        <v>497</v>
      </c>
      <c r="D54" s="14" t="s">
        <v>498</v>
      </c>
      <c r="E54" s="14" t="s">
        <v>499</v>
      </c>
      <c r="F54" s="8" t="s">
        <v>622</v>
      </c>
      <c r="G54" s="9" t="s">
        <v>501</v>
      </c>
      <c r="H54" s="8" t="s">
        <v>502</v>
      </c>
    </row>
    <row r="55" customFormat="false" ht="23.85" hidden="false" customHeight="false" outlineLevel="0" collapsed="false">
      <c r="A55" s="10" t="s">
        <v>477</v>
      </c>
      <c r="B55" s="11" t="s">
        <v>623</v>
      </c>
      <c r="C55" s="13" t="s">
        <v>497</v>
      </c>
      <c r="D55" s="14" t="s">
        <v>498</v>
      </c>
      <c r="E55" s="14" t="s">
        <v>499</v>
      </c>
      <c r="F55" s="11" t="s">
        <v>624</v>
      </c>
      <c r="G55" s="9" t="s">
        <v>501</v>
      </c>
      <c r="H55" s="11" t="s">
        <v>502</v>
      </c>
    </row>
    <row r="56" customFormat="false" ht="15" hidden="false" customHeight="false" outlineLevel="0" collapsed="false">
      <c r="A56" s="6" t="s">
        <v>483</v>
      </c>
      <c r="B56" s="8" t="s">
        <v>625</v>
      </c>
      <c r="C56" s="13" t="s">
        <v>497</v>
      </c>
      <c r="D56" s="14" t="s">
        <v>498</v>
      </c>
      <c r="E56" s="14" t="s">
        <v>529</v>
      </c>
      <c r="F56" s="8" t="s">
        <v>530</v>
      </c>
      <c r="G56" s="9" t="s">
        <v>531</v>
      </c>
      <c r="H56" s="8" t="s">
        <v>532</v>
      </c>
    </row>
    <row r="57" customFormat="false" ht="15" hidden="false" customHeight="false" outlineLevel="0" collapsed="false">
      <c r="A57" s="10" t="s">
        <v>483</v>
      </c>
      <c r="B57" s="11" t="s">
        <v>626</v>
      </c>
      <c r="C57" s="13" t="s">
        <v>497</v>
      </c>
      <c r="D57" s="14" t="s">
        <v>498</v>
      </c>
      <c r="E57" s="14" t="s">
        <v>529</v>
      </c>
      <c r="F57" s="11" t="s">
        <v>627</v>
      </c>
      <c r="G57" s="9" t="s">
        <v>531</v>
      </c>
      <c r="H57" s="11" t="s">
        <v>532</v>
      </c>
    </row>
    <row r="58" customFormat="false" ht="15" hidden="false" customHeight="false" outlineLevel="0" collapsed="false">
      <c r="A58" s="6" t="s">
        <v>483</v>
      </c>
      <c r="B58" s="8" t="s">
        <v>628</v>
      </c>
      <c r="C58" s="13" t="s">
        <v>497</v>
      </c>
      <c r="D58" s="14" t="s">
        <v>498</v>
      </c>
      <c r="E58" s="14" t="s">
        <v>529</v>
      </c>
      <c r="F58" s="8" t="s">
        <v>629</v>
      </c>
      <c r="G58" s="9" t="s">
        <v>531</v>
      </c>
      <c r="H58" s="8" t="s">
        <v>532</v>
      </c>
    </row>
    <row r="60" customFormat="false" ht="15" hidden="false" customHeight="false" outlineLevel="0" collapsed="false">
      <c r="B60" s="19" t="s">
        <v>630</v>
      </c>
      <c r="G60" s="19" t="n">
        <v>57</v>
      </c>
    </row>
    <row r="61" customFormat="false" ht="15" hidden="false" customHeight="false" outlineLevel="0" collapsed="false">
      <c r="B61" s="19" t="s">
        <v>631</v>
      </c>
      <c r="G61" s="19" t="n">
        <f aca="false">COUNTIF(E2:E58,"WILL FAIL")+COUNTIF(E2:E58,"FAILED")</f>
        <v>11</v>
      </c>
    </row>
    <row r="62" customFormat="false" ht="15" hidden="false" customHeight="false" outlineLevel="0" collapsed="false">
      <c r="B62" s="19" t="s">
        <v>632</v>
      </c>
      <c r="G62" s="19" t="n">
        <f aca="false">COUNTIF(C2:C58,"BROKEN*")</f>
        <v>10</v>
      </c>
    </row>
    <row r="63" customFormat="false" ht="15" hidden="false" customHeight="false" outlineLevel="0" collapsed="false">
      <c r="B63" s="19" t="s">
        <v>633</v>
      </c>
      <c r="G63" s="19" t="n">
        <f aca="false">COUNTIF(G2:G58,"Pass")</f>
        <v>7</v>
      </c>
    </row>
  </sheetData>
  <autoFilter ref="A1:H58"/>
  <dataValidations count="1">
    <dataValidation allowBlank="true" errorStyle="stop" operator="between" showDropDown="false" showErrorMessage="false" showInputMessage="false" sqref="G2:G58" type="list">
      <formula1>"Pass,Fail,Partial,Not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4"/>
    <col collapsed="false" customWidth="true" hidden="false" outlineLevel="0" max="3" min="3" style="0" width="18"/>
    <col collapsed="false" customWidth="true" hidden="false" outlineLevel="0" max="4" min="4" style="0" width="62"/>
    <col collapsed="false" customWidth="true" hidden="false" outlineLevel="0" max="5" min="5" style="0" width="26"/>
    <col collapsed="false" customWidth="true" hidden="false" outlineLevel="0" max="6" min="6" style="0" width="40"/>
  </cols>
  <sheetData>
    <row r="1" customFormat="false" ht="31.5" hidden="false" customHeight="true" outlineLevel="0" collapsed="false">
      <c r="A1" s="5" t="s">
        <v>167</v>
      </c>
      <c r="B1" s="5" t="s">
        <v>634</v>
      </c>
      <c r="C1" s="5" t="s">
        <v>635</v>
      </c>
      <c r="D1" s="5" t="s">
        <v>636</v>
      </c>
      <c r="E1" s="5" t="s">
        <v>637</v>
      </c>
      <c r="F1" s="5" t="s">
        <v>35</v>
      </c>
    </row>
    <row r="2" customFormat="false" ht="15" hidden="false" customHeight="false" outlineLevel="0" collapsed="false">
      <c r="A2" s="6" t="s">
        <v>227</v>
      </c>
      <c r="B2" s="6" t="s">
        <v>255</v>
      </c>
      <c r="C2" s="6" t="s">
        <v>638</v>
      </c>
      <c r="D2" s="8" t="s">
        <v>639</v>
      </c>
      <c r="E2" s="6" t="s">
        <v>640</v>
      </c>
      <c r="F2" s="20" t="s">
        <v>641</v>
      </c>
    </row>
    <row r="3" customFormat="false" ht="15" hidden="false" customHeight="false" outlineLevel="0" collapsed="false">
      <c r="A3" s="10" t="s">
        <v>219</v>
      </c>
      <c r="B3" s="10" t="s">
        <v>255</v>
      </c>
      <c r="C3" s="10" t="s">
        <v>638</v>
      </c>
      <c r="D3" s="11" t="s">
        <v>642</v>
      </c>
      <c r="E3" s="10" t="s">
        <v>643</v>
      </c>
      <c r="F3" s="20" t="s">
        <v>641</v>
      </c>
    </row>
    <row r="4" customFormat="false" ht="15" hidden="false" customHeight="false" outlineLevel="0" collapsed="false">
      <c r="A4" s="6" t="s">
        <v>54</v>
      </c>
      <c r="B4" s="6" t="s">
        <v>255</v>
      </c>
      <c r="C4" s="6" t="s">
        <v>638</v>
      </c>
      <c r="D4" s="8" t="s">
        <v>644</v>
      </c>
      <c r="E4" s="6" t="s">
        <v>139</v>
      </c>
      <c r="F4" s="8" t="s">
        <v>645</v>
      </c>
    </row>
    <row r="5" customFormat="false" ht="15" hidden="false" customHeight="false" outlineLevel="0" collapsed="false">
      <c r="A5" s="10" t="s">
        <v>118</v>
      </c>
      <c r="B5" s="10" t="s">
        <v>273</v>
      </c>
      <c r="C5" s="10" t="s">
        <v>638</v>
      </c>
      <c r="D5" s="11" t="s">
        <v>646</v>
      </c>
      <c r="E5" s="10" t="s">
        <v>647</v>
      </c>
      <c r="F5" s="20" t="s">
        <v>641</v>
      </c>
    </row>
    <row r="6" customFormat="false" ht="15" hidden="false" customHeight="false" outlineLevel="0" collapsed="false">
      <c r="A6" s="6" t="s">
        <v>202</v>
      </c>
      <c r="B6" s="6" t="s">
        <v>273</v>
      </c>
      <c r="C6" s="6" t="s">
        <v>638</v>
      </c>
      <c r="D6" s="8" t="s">
        <v>648</v>
      </c>
      <c r="E6" s="6" t="s">
        <v>649</v>
      </c>
      <c r="F6" s="20" t="s">
        <v>641</v>
      </c>
    </row>
    <row r="7" customFormat="false" ht="15" hidden="false" customHeight="false" outlineLevel="0" collapsed="false">
      <c r="A7" s="10" t="s">
        <v>205</v>
      </c>
      <c r="B7" s="10" t="s">
        <v>273</v>
      </c>
      <c r="C7" s="10" t="s">
        <v>638</v>
      </c>
      <c r="D7" s="11" t="s">
        <v>650</v>
      </c>
      <c r="E7" s="10" t="s">
        <v>651</v>
      </c>
      <c r="F7" s="11" t="s">
        <v>652</v>
      </c>
    </row>
    <row r="8" customFormat="false" ht="15" hidden="false" customHeight="false" outlineLevel="0" collapsed="false">
      <c r="A8" s="6" t="s">
        <v>82</v>
      </c>
      <c r="B8" s="6" t="s">
        <v>273</v>
      </c>
      <c r="C8" s="6" t="s">
        <v>638</v>
      </c>
      <c r="D8" s="8" t="s">
        <v>653</v>
      </c>
      <c r="E8" s="6" t="s">
        <v>654</v>
      </c>
      <c r="F8" s="8" t="s">
        <v>655</v>
      </c>
    </row>
    <row r="9" customFormat="false" ht="15" hidden="false" customHeight="false" outlineLevel="0" collapsed="false">
      <c r="A9" s="10" t="s">
        <v>61</v>
      </c>
      <c r="B9" s="10" t="s">
        <v>273</v>
      </c>
      <c r="C9" s="10" t="s">
        <v>638</v>
      </c>
      <c r="D9" s="11" t="s">
        <v>656</v>
      </c>
      <c r="E9" s="10" t="s">
        <v>65</v>
      </c>
      <c r="F9" s="11" t="s">
        <v>657</v>
      </c>
    </row>
    <row r="10" customFormat="false" ht="23.85" hidden="false" customHeight="false" outlineLevel="0" collapsed="false">
      <c r="A10" s="6" t="s">
        <v>68</v>
      </c>
      <c r="B10" s="6" t="s">
        <v>273</v>
      </c>
      <c r="C10" s="6" t="s">
        <v>638</v>
      </c>
      <c r="D10" s="8" t="s">
        <v>658</v>
      </c>
      <c r="E10" s="6" t="s">
        <v>71</v>
      </c>
      <c r="F10" s="8" t="s">
        <v>659</v>
      </c>
    </row>
    <row r="11" customFormat="false" ht="15" hidden="false" customHeight="false" outlineLevel="0" collapsed="false">
      <c r="A11" s="10" t="s">
        <v>39</v>
      </c>
      <c r="B11" s="10" t="s">
        <v>295</v>
      </c>
      <c r="C11" s="10" t="s">
        <v>638</v>
      </c>
      <c r="D11" s="11" t="s">
        <v>660</v>
      </c>
      <c r="E11" s="10" t="s">
        <v>661</v>
      </c>
      <c r="F11" s="11" t="s">
        <v>662</v>
      </c>
    </row>
    <row r="12" customFormat="false" ht="15" hidden="false" customHeight="false" outlineLevel="0" collapsed="false">
      <c r="A12" s="6" t="s">
        <v>663</v>
      </c>
      <c r="B12" s="6" t="s">
        <v>295</v>
      </c>
      <c r="C12" s="6" t="s">
        <v>638</v>
      </c>
      <c r="D12" s="8" t="s">
        <v>664</v>
      </c>
      <c r="E12" s="6" t="s">
        <v>665</v>
      </c>
      <c r="F12" s="8" t="s">
        <v>666</v>
      </c>
    </row>
    <row r="13" customFormat="false" ht="15" hidden="false" customHeight="false" outlineLevel="0" collapsed="false">
      <c r="A13" s="10" t="s">
        <v>162</v>
      </c>
      <c r="B13" s="10" t="s">
        <v>295</v>
      </c>
      <c r="C13" s="10" t="s">
        <v>638</v>
      </c>
      <c r="D13" s="11" t="s">
        <v>667</v>
      </c>
      <c r="E13" s="10" t="s">
        <v>668</v>
      </c>
      <c r="F13" s="11" t="s">
        <v>669</v>
      </c>
    </row>
    <row r="14" customFormat="false" ht="15" hidden="false" customHeight="false" outlineLevel="0" collapsed="false">
      <c r="A14" s="6" t="s">
        <v>313</v>
      </c>
      <c r="B14" s="6" t="s">
        <v>670</v>
      </c>
      <c r="C14" s="6" t="s">
        <v>638</v>
      </c>
      <c r="D14" s="8" t="s">
        <v>671</v>
      </c>
      <c r="E14" s="6" t="s">
        <v>672</v>
      </c>
      <c r="F14" s="20" t="s">
        <v>641</v>
      </c>
    </row>
    <row r="15" customFormat="false" ht="15" hidden="false" customHeight="false" outlineLevel="0" collapsed="false">
      <c r="A15" s="10" t="s">
        <v>673</v>
      </c>
      <c r="B15" s="10" t="s">
        <v>312</v>
      </c>
      <c r="C15" s="10" t="s">
        <v>674</v>
      </c>
      <c r="D15" s="11" t="s">
        <v>128</v>
      </c>
      <c r="E15" s="10" t="s">
        <v>128</v>
      </c>
      <c r="F15" s="11" t="s">
        <v>675</v>
      </c>
    </row>
    <row r="16" customFormat="false" ht="15" hidden="false" customHeight="false" outlineLevel="0" collapsed="false">
      <c r="A16" s="6" t="s">
        <v>110</v>
      </c>
      <c r="B16" s="6" t="s">
        <v>676</v>
      </c>
      <c r="C16" s="6" t="s">
        <v>677</v>
      </c>
      <c r="D16" s="8" t="s">
        <v>678</v>
      </c>
      <c r="E16" s="6" t="s">
        <v>128</v>
      </c>
      <c r="F16" s="21" t="s">
        <v>679</v>
      </c>
    </row>
  </sheetData>
  <autoFilter ref="A1:F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4"/>
    <col collapsed="false" customWidth="true" hidden="false" outlineLevel="0" max="4" min="4" style="0" width="18"/>
    <col collapsed="false" customWidth="true" hidden="false" outlineLevel="0" max="5" min="5" style="0" width="88"/>
  </cols>
  <sheetData>
    <row r="1" customFormat="false" ht="31.5" hidden="false" customHeight="true" outlineLevel="0" collapsed="false">
      <c r="A1" s="5" t="s">
        <v>680</v>
      </c>
      <c r="B1" s="5" t="s">
        <v>681</v>
      </c>
      <c r="C1" s="5" t="s">
        <v>682</v>
      </c>
      <c r="D1" s="5" t="s">
        <v>683</v>
      </c>
      <c r="E1" s="5" t="s">
        <v>684</v>
      </c>
    </row>
    <row r="2" customFormat="false" ht="15" hidden="false" customHeight="false" outlineLevel="0" collapsed="false">
      <c r="A2" s="6" t="s">
        <v>685</v>
      </c>
      <c r="B2" s="6" t="s">
        <v>686</v>
      </c>
      <c r="C2" s="22" t="n">
        <v>5</v>
      </c>
      <c r="D2" s="22" t="n">
        <v>5</v>
      </c>
      <c r="E2" s="8" t="s">
        <v>687</v>
      </c>
    </row>
    <row r="3" customFormat="false" ht="15" hidden="false" customHeight="false" outlineLevel="0" collapsed="false">
      <c r="A3" s="10" t="s">
        <v>688</v>
      </c>
      <c r="B3" s="10" t="s">
        <v>391</v>
      </c>
      <c r="C3" s="22" t="n">
        <v>4</v>
      </c>
      <c r="D3" s="22" t="n">
        <v>5</v>
      </c>
      <c r="E3" s="11" t="s">
        <v>689</v>
      </c>
    </row>
    <row r="4" customFormat="false" ht="15" hidden="false" customHeight="false" outlineLevel="0" collapsed="false">
      <c r="A4" s="6" t="s">
        <v>690</v>
      </c>
      <c r="B4" s="6" t="s">
        <v>691</v>
      </c>
      <c r="C4" s="22" t="n">
        <v>4</v>
      </c>
      <c r="D4" s="22" t="n">
        <v>5</v>
      </c>
      <c r="E4" s="8" t="s">
        <v>692</v>
      </c>
    </row>
    <row r="5" customFormat="false" ht="15" hidden="false" customHeight="false" outlineLevel="0" collapsed="false">
      <c r="A5" s="10" t="s">
        <v>693</v>
      </c>
      <c r="B5" s="10" t="s">
        <v>412</v>
      </c>
      <c r="C5" s="22" t="n">
        <v>4</v>
      </c>
      <c r="D5" s="22" t="n">
        <v>5</v>
      </c>
      <c r="E5" s="11" t="s">
        <v>694</v>
      </c>
    </row>
    <row r="6" customFormat="false" ht="15" hidden="false" customHeight="false" outlineLevel="0" collapsed="false">
      <c r="A6" s="6" t="s">
        <v>695</v>
      </c>
      <c r="B6" s="6" t="s">
        <v>416</v>
      </c>
      <c r="C6" s="22" t="n">
        <v>4</v>
      </c>
      <c r="D6" s="22" t="n">
        <v>5</v>
      </c>
      <c r="E6" s="8" t="s">
        <v>696</v>
      </c>
    </row>
    <row r="7" customFormat="false" ht="15" hidden="false" customHeight="false" outlineLevel="0" collapsed="false">
      <c r="A7" s="10" t="s">
        <v>697</v>
      </c>
      <c r="B7" s="10" t="s">
        <v>698</v>
      </c>
      <c r="C7" s="22" t="n">
        <v>1</v>
      </c>
      <c r="D7" s="22" t="n">
        <v>5</v>
      </c>
      <c r="E7" s="11" t="s">
        <v>699</v>
      </c>
    </row>
    <row r="8" customFormat="false" ht="15" hidden="false" customHeight="false" outlineLevel="0" collapsed="false">
      <c r="A8" s="6" t="s">
        <v>700</v>
      </c>
      <c r="B8" s="6" t="s">
        <v>701</v>
      </c>
      <c r="C8" s="22" t="n">
        <v>1</v>
      </c>
      <c r="D8" s="22" t="n">
        <v>5</v>
      </c>
      <c r="E8" s="8" t="s">
        <v>702</v>
      </c>
    </row>
    <row r="9" customFormat="false" ht="15" hidden="false" customHeight="false" outlineLevel="0" collapsed="false">
      <c r="A9" s="10" t="s">
        <v>703</v>
      </c>
      <c r="B9" s="10" t="s">
        <v>440</v>
      </c>
      <c r="C9" s="22" t="n">
        <v>1</v>
      </c>
      <c r="D9" s="22" t="n">
        <v>5</v>
      </c>
      <c r="E9" s="11" t="s">
        <v>704</v>
      </c>
    </row>
    <row r="10" customFormat="false" ht="15" hidden="false" customHeight="false" outlineLevel="0" collapsed="false">
      <c r="A10" s="6" t="s">
        <v>705</v>
      </c>
      <c r="B10" s="6" t="s">
        <v>706</v>
      </c>
      <c r="C10" s="22" t="n">
        <v>3</v>
      </c>
      <c r="D10" s="22" t="n">
        <v>5</v>
      </c>
      <c r="E10" s="8" t="s">
        <v>707</v>
      </c>
    </row>
    <row r="11" customFormat="false" ht="15" hidden="false" customHeight="false" outlineLevel="0" collapsed="false">
      <c r="A11" s="10" t="s">
        <v>708</v>
      </c>
      <c r="B11" s="10" t="s">
        <v>139</v>
      </c>
      <c r="C11" s="22" t="n">
        <v>1</v>
      </c>
      <c r="D11" s="22" t="n">
        <v>4</v>
      </c>
      <c r="E11" s="11" t="s">
        <v>709</v>
      </c>
    </row>
    <row r="12" customFormat="false" ht="15" hidden="false" customHeight="false" outlineLevel="0" collapsed="false">
      <c r="A12" s="6" t="s">
        <v>710</v>
      </c>
      <c r="B12" s="6" t="s">
        <v>711</v>
      </c>
      <c r="C12" s="22" t="n">
        <v>3</v>
      </c>
      <c r="D12" s="22" t="n">
        <v>5</v>
      </c>
      <c r="E12" s="8" t="s">
        <v>712</v>
      </c>
    </row>
    <row r="13" customFormat="false" ht="15" hidden="false" customHeight="false" outlineLevel="0" collapsed="false">
      <c r="A13" s="10" t="s">
        <v>713</v>
      </c>
      <c r="B13" s="10" t="s">
        <v>477</v>
      </c>
      <c r="C13" s="22" t="n">
        <v>4</v>
      </c>
      <c r="D13" s="22" t="n">
        <v>5</v>
      </c>
      <c r="E13" s="11" t="s">
        <v>714</v>
      </c>
    </row>
    <row r="14" customFormat="false" ht="15" hidden="false" customHeight="false" outlineLevel="0" collapsed="false">
      <c r="A14" s="6" t="s">
        <v>715</v>
      </c>
      <c r="B14" s="6" t="s">
        <v>483</v>
      </c>
      <c r="C14" s="22" t="n">
        <v>5</v>
      </c>
      <c r="D14" s="22" t="n">
        <v>5</v>
      </c>
      <c r="E14" s="8" t="s">
        <v>716</v>
      </c>
    </row>
    <row r="15" customFormat="false" ht="15" hidden="false" customHeight="false" outlineLevel="0" collapsed="false">
      <c r="A15" s="10" t="s">
        <v>717</v>
      </c>
      <c r="B15" s="10" t="s">
        <v>686</v>
      </c>
      <c r="C15" s="22" t="n">
        <v>4</v>
      </c>
      <c r="D15" s="22" t="n">
        <v>5</v>
      </c>
      <c r="E15" s="11" t="s">
        <v>718</v>
      </c>
    </row>
    <row r="16" customFormat="false" ht="15" hidden="false" customHeight="false" outlineLevel="0" collapsed="false">
      <c r="A16" s="6" t="s">
        <v>719</v>
      </c>
      <c r="B16" s="6" t="s">
        <v>686</v>
      </c>
      <c r="C16" s="22" t="n">
        <v>1</v>
      </c>
      <c r="D16" s="22" t="n">
        <v>4</v>
      </c>
      <c r="E16" s="8" t="s">
        <v>720</v>
      </c>
    </row>
    <row r="18" customFormat="false" ht="15" hidden="false" customHeight="false" outlineLevel="0" collapsed="false">
      <c r="A18" s="23" t="s">
        <v>721</v>
      </c>
      <c r="C18" s="24" t="n">
        <f aca="false">ROUND(AVERAGE(C2:C16),2)</f>
        <v>3</v>
      </c>
      <c r="D18" s="24" t="n">
        <f aca="false">ROUND(AVERAGE(D2:D16),2)</f>
        <v>4.87</v>
      </c>
    </row>
    <row r="20" customFormat="false" ht="15" hidden="false" customHeight="true" outlineLevel="0" collapsed="false">
      <c r="A20" s="25" t="s">
        <v>722</v>
      </c>
      <c r="B20" s="25"/>
      <c r="C20" s="25"/>
      <c r="D20" s="25"/>
      <c r="E20" s="25"/>
    </row>
    <row r="21" customFormat="false" ht="15" hidden="false" customHeight="false" outlineLevel="0" collapsed="false">
      <c r="A21" s="25"/>
      <c r="B21" s="25"/>
      <c r="C21" s="25"/>
      <c r="D21" s="25"/>
      <c r="E21" s="25"/>
    </row>
    <row r="22" customFormat="false" ht="15" hidden="false" customHeight="false" outlineLevel="0" collapsed="false">
      <c r="A22" s="25"/>
      <c r="B22" s="25"/>
      <c r="C22" s="25"/>
      <c r="D22" s="25"/>
      <c r="E22" s="25"/>
    </row>
  </sheetData>
  <autoFilter ref="A1:E16"/>
  <mergeCells count="1">
    <mergeCell ref="A20: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0"/>
  </cols>
  <sheetData>
    <row r="1" customFormat="false" ht="19.5" hidden="false" customHeight="true" outlineLevel="0" collapsed="false">
      <c r="B1" s="26" t="s">
        <v>723</v>
      </c>
    </row>
    <row r="2" customFormat="false" ht="27.75" hidden="false" customHeight="true" outlineLevel="0" collapsed="false">
      <c r="B2" s="2" t="s">
        <v>724</v>
      </c>
    </row>
    <row r="3" customFormat="false" ht="19.5" hidden="false" customHeight="true" outlineLevel="0" collapsed="false">
      <c r="B3" s="27"/>
    </row>
    <row r="4" customFormat="false" ht="19.5" hidden="false" customHeight="true" outlineLevel="0" collapsed="false">
      <c r="B4" s="28" t="s">
        <v>725</v>
      </c>
    </row>
    <row r="5" customFormat="false" ht="27.75" hidden="false" customHeight="true" outlineLevel="0" collapsed="false">
      <c r="B5" s="3" t="s">
        <v>726</v>
      </c>
    </row>
    <row r="6" customFormat="false" ht="13.5" hidden="false" customHeight="true" outlineLevel="0" collapsed="false">
      <c r="B6" s="29" t="s">
        <v>727</v>
      </c>
    </row>
    <row r="7" customFormat="false" ht="13.5" hidden="false" customHeight="true" outlineLevel="0" collapsed="false">
      <c r="B7" s="29" t="s">
        <v>728</v>
      </c>
    </row>
    <row r="8" customFormat="false" ht="13.5" hidden="false" customHeight="true" outlineLevel="0" collapsed="false">
      <c r="B8" s="29" t="s">
        <v>729</v>
      </c>
    </row>
    <row r="9" customFormat="false" ht="13.5" hidden="false" customHeight="true" outlineLevel="0" collapsed="false">
      <c r="B9" s="29" t="s">
        <v>730</v>
      </c>
    </row>
    <row r="10" customFormat="false" ht="13.5" hidden="false" customHeight="true" outlineLevel="0" collapsed="false">
      <c r="B10" s="29"/>
    </row>
    <row r="11" customFormat="false" ht="13.5" hidden="false" customHeight="true" outlineLevel="0" collapsed="false">
      <c r="B11" s="29" t="s">
        <v>731</v>
      </c>
    </row>
    <row r="12" customFormat="false" ht="13.5" hidden="false" customHeight="true" outlineLevel="0" collapsed="false">
      <c r="B12" s="29" t="s">
        <v>732</v>
      </c>
    </row>
    <row r="13" customFormat="false" ht="13.5" hidden="false" customHeight="true" outlineLevel="0" collapsed="false">
      <c r="B13" s="29" t="s">
        <v>733</v>
      </c>
    </row>
    <row r="14" customFormat="false" ht="13.5" hidden="false" customHeight="true" outlineLevel="0" collapsed="false">
      <c r="B14" s="29"/>
    </row>
    <row r="15" customFormat="false" ht="13.5" hidden="false" customHeight="true" outlineLevel="0" collapsed="false">
      <c r="B15" s="29" t="s">
        <v>734</v>
      </c>
    </row>
    <row r="16" customFormat="false" ht="13.5" hidden="false" customHeight="true" outlineLevel="0" collapsed="false">
      <c r="B16" s="29" t="s">
        <v>735</v>
      </c>
    </row>
    <row r="17" customFormat="false" ht="13.5" hidden="false" customHeight="true" outlineLevel="0" collapsed="false">
      <c r="B17" s="29" t="s">
        <v>736</v>
      </c>
    </row>
    <row r="18" customFormat="false" ht="13.5" hidden="false" customHeight="true" outlineLevel="0" collapsed="false">
      <c r="B18" s="29" t="s">
        <v>737</v>
      </c>
    </row>
    <row r="19" customFormat="false" ht="13.5" hidden="false" customHeight="true" outlineLevel="0" collapsed="false">
      <c r="B19" s="29"/>
    </row>
    <row r="20" customFormat="false" ht="13.5" hidden="false" customHeight="true" outlineLevel="0" collapsed="false">
      <c r="B20" s="29" t="s">
        <v>738</v>
      </c>
    </row>
    <row r="21" customFormat="false" ht="13.5" hidden="false" customHeight="true" outlineLevel="0" collapsed="false">
      <c r="B21" s="29"/>
    </row>
    <row r="22" customFormat="false" ht="13.5" hidden="false" customHeight="true" outlineLevel="0" collapsed="false">
      <c r="B22" s="29" t="s">
        <v>739</v>
      </c>
    </row>
    <row r="23" customFormat="false" ht="13.5" hidden="false" customHeight="true" outlineLevel="0" collapsed="false">
      <c r="B23" s="29" t="s">
        <v>740</v>
      </c>
    </row>
    <row r="24" customFormat="false" ht="13.5" hidden="false" customHeight="true" outlineLevel="0" collapsed="false">
      <c r="B24" s="29" t="s">
        <v>741</v>
      </c>
    </row>
    <row r="25" customFormat="false" ht="13.5" hidden="false" customHeight="true" outlineLevel="0" collapsed="false">
      <c r="B25" s="29" t="s">
        <v>742</v>
      </c>
    </row>
    <row r="26" customFormat="false" ht="13.5" hidden="false" customHeight="true" outlineLevel="0" collapsed="false">
      <c r="B26" s="29" t="s">
        <v>743</v>
      </c>
    </row>
    <row r="27" customFormat="false" ht="13.5" hidden="false" customHeight="true" outlineLevel="0" collapsed="false">
      <c r="B27" s="29" t="s">
        <v>744</v>
      </c>
    </row>
    <row r="28" customFormat="false" ht="13.5" hidden="false" customHeight="true" outlineLevel="0" collapsed="false">
      <c r="B28" s="29" t="s">
        <v>745</v>
      </c>
    </row>
    <row r="29" customFormat="false" ht="13.5" hidden="false" customHeight="true" outlineLevel="0" collapsed="false">
      <c r="B29" s="29"/>
    </row>
    <row r="30" customFormat="false" ht="13.5" hidden="false" customHeight="true" outlineLevel="0" collapsed="false">
      <c r="B30" s="29" t="s">
        <v>746</v>
      </c>
    </row>
    <row r="31" customFormat="false" ht="13.5" hidden="false" customHeight="true" outlineLevel="0" collapsed="false">
      <c r="B31" s="29" t="s">
        <v>747</v>
      </c>
    </row>
    <row r="32" customFormat="false" ht="13.5" hidden="false" customHeight="true" outlineLevel="0" collapsed="false">
      <c r="B32" s="29" t="s">
        <v>748</v>
      </c>
    </row>
    <row r="33" customFormat="false" ht="13.5" hidden="false" customHeight="true" outlineLevel="0" collapsed="false">
      <c r="B33" s="29" t="s">
        <v>749</v>
      </c>
    </row>
    <row r="34" customFormat="false" ht="13.5" hidden="false" customHeight="true" outlineLevel="0" collapsed="false">
      <c r="B34" s="29" t="s">
        <v>750</v>
      </c>
    </row>
    <row r="35" customFormat="false" ht="13.5" hidden="false" customHeight="true" outlineLevel="0" collapsed="false">
      <c r="B35" s="29" t="s">
        <v>741</v>
      </c>
    </row>
    <row r="36" customFormat="false" ht="13.5" hidden="false" customHeight="true" outlineLevel="0" collapsed="false">
      <c r="B36" s="29" t="s">
        <v>751</v>
      </c>
    </row>
    <row r="37" customFormat="false" ht="13.5" hidden="false" customHeight="true" outlineLevel="0" collapsed="false">
      <c r="B37" s="29" t="s">
        <v>743</v>
      </c>
    </row>
    <row r="38" customFormat="false" ht="13.5" hidden="false" customHeight="true" outlineLevel="0" collapsed="false">
      <c r="B38" s="29" t="s">
        <v>752</v>
      </c>
    </row>
    <row r="39" customFormat="false" ht="13.5" hidden="false" customHeight="true" outlineLevel="0" collapsed="false">
      <c r="B39" s="29" t="s">
        <v>753</v>
      </c>
    </row>
    <row r="40" customFormat="false" ht="13.5" hidden="false" customHeight="true" outlineLevel="0" collapsed="false">
      <c r="B40" s="29" t="s">
        <v>754</v>
      </c>
    </row>
    <row r="41" customFormat="false" ht="13.5" hidden="false" customHeight="true" outlineLevel="0" collapsed="false">
      <c r="B41" s="29" t="s">
        <v>745</v>
      </c>
    </row>
    <row r="42" customFormat="false" ht="13.5" hidden="false" customHeight="true" outlineLevel="0" collapsed="false">
      <c r="B42" s="29"/>
    </row>
    <row r="43" customFormat="false" ht="13.5" hidden="false" customHeight="true" outlineLevel="0" collapsed="false">
      <c r="B43" s="29" t="s">
        <v>755</v>
      </c>
    </row>
    <row r="44" customFormat="false" ht="13.5" hidden="false" customHeight="true" outlineLevel="0" collapsed="false">
      <c r="B44" s="29" t="s">
        <v>756</v>
      </c>
    </row>
    <row r="45" customFormat="false" ht="13.5" hidden="false" customHeight="true" outlineLevel="0" collapsed="false">
      <c r="B45" s="29" t="s">
        <v>757</v>
      </c>
    </row>
    <row r="46" customFormat="false" ht="19.5" hidden="false" customHeight="true" outlineLevel="0" collapsed="false">
      <c r="B46" s="27"/>
    </row>
    <row r="47" customFormat="false" ht="19.5" hidden="false" customHeight="true" outlineLevel="0" collapsed="false">
      <c r="B47" s="28" t="s">
        <v>758</v>
      </c>
    </row>
    <row r="48" customFormat="false" ht="27.75" hidden="false" customHeight="true" outlineLevel="0" collapsed="false">
      <c r="B48" s="3" t="s">
        <v>759</v>
      </c>
    </row>
    <row r="49" customFormat="false" ht="27.75" hidden="false" customHeight="true" outlineLevel="0" collapsed="false">
      <c r="B49" s="3" t="s">
        <v>760</v>
      </c>
    </row>
    <row r="50" customFormat="false" ht="27.75" hidden="false" customHeight="true" outlineLevel="0" collapsed="false">
      <c r="B50" s="3" t="s">
        <v>761</v>
      </c>
    </row>
    <row r="51" customFormat="false" ht="27.75" hidden="false" customHeight="true" outlineLevel="0" collapsed="false">
      <c r="B51" s="3" t="s">
        <v>762</v>
      </c>
    </row>
    <row r="52" customFormat="false" ht="19.5" hidden="false" customHeight="true" outlineLevel="0" collapsed="false">
      <c r="B52" s="27"/>
    </row>
    <row r="53" customFormat="false" ht="19.5" hidden="false" customHeight="true" outlineLevel="0" collapsed="false">
      <c r="B53" s="28" t="s">
        <v>763</v>
      </c>
    </row>
    <row r="54" customFormat="false" ht="27.75" hidden="false" customHeight="true" outlineLevel="0" collapsed="false">
      <c r="B54" s="3" t="s">
        <v>764</v>
      </c>
    </row>
    <row r="55" customFormat="false" ht="13.5" hidden="false" customHeight="true" outlineLevel="0" collapsed="false">
      <c r="B55" s="29" t="s">
        <v>765</v>
      </c>
    </row>
    <row r="56" customFormat="false" ht="13.5" hidden="false" customHeight="true" outlineLevel="0" collapsed="false">
      <c r="B56" s="29" t="s">
        <v>766</v>
      </c>
    </row>
    <row r="57" customFormat="false" ht="13.5" hidden="false" customHeight="true" outlineLevel="0" collapsed="false">
      <c r="B57" s="29" t="s">
        <v>767</v>
      </c>
    </row>
    <row r="58" customFormat="false" ht="13.5" hidden="false" customHeight="true" outlineLevel="0" collapsed="false">
      <c r="B58" s="29" t="s">
        <v>768</v>
      </c>
    </row>
    <row r="59" customFormat="false" ht="13.5" hidden="false" customHeight="true" outlineLevel="0" collapsed="false">
      <c r="B59" s="29" t="s">
        <v>769</v>
      </c>
    </row>
    <row r="60" customFormat="false" ht="13.5" hidden="false" customHeight="true" outlineLevel="0" collapsed="false">
      <c r="B60" s="29" t="s">
        <v>770</v>
      </c>
    </row>
    <row r="61" customFormat="false" ht="13.5" hidden="false" customHeight="true" outlineLevel="0" collapsed="false">
      <c r="B61" s="29" t="s">
        <v>771</v>
      </c>
    </row>
    <row r="62" customFormat="false" ht="27.75" hidden="false" customHeight="true" outlineLevel="0" collapsed="false">
      <c r="B62" s="3" t="s">
        <v>772</v>
      </c>
    </row>
    <row r="63" customFormat="false" ht="13.5" hidden="false" customHeight="true" outlineLevel="0" collapsed="false">
      <c r="B63" s="29" t="s">
        <v>773</v>
      </c>
    </row>
    <row r="64" customFormat="false" ht="13.5" hidden="false" customHeight="true" outlineLevel="0" collapsed="false">
      <c r="B64" s="29" t="s">
        <v>774</v>
      </c>
    </row>
    <row r="65" customFormat="false" ht="13.5" hidden="false" customHeight="true" outlineLevel="0" collapsed="false">
      <c r="B65" s="29" t="s">
        <v>775</v>
      </c>
    </row>
    <row r="66" customFormat="false" ht="13.5" hidden="false" customHeight="true" outlineLevel="0" collapsed="false">
      <c r="B66" s="29" t="s">
        <v>776</v>
      </c>
    </row>
    <row r="67" customFormat="false" ht="13.5" hidden="false" customHeight="true" outlineLevel="0" collapsed="false">
      <c r="B67" s="29" t="s">
        <v>777</v>
      </c>
    </row>
    <row r="68" customFormat="false" ht="19.5" hidden="false" customHeight="true" outlineLevel="0" collapsed="false">
      <c r="B68" s="27"/>
    </row>
    <row r="69" customFormat="false" ht="19.5" hidden="false" customHeight="true" outlineLevel="0" collapsed="false">
      <c r="B69" s="28" t="s">
        <v>778</v>
      </c>
    </row>
    <row r="70" customFormat="false" ht="27.75" hidden="false" customHeight="true" outlineLevel="0" collapsed="false">
      <c r="B70" s="3" t="s">
        <v>779</v>
      </c>
    </row>
    <row r="71" customFormat="false" ht="13.5" hidden="false" customHeight="true" outlineLevel="0" collapsed="false">
      <c r="B71" s="29" t="s">
        <v>780</v>
      </c>
    </row>
    <row r="72" customFormat="false" ht="13.5" hidden="false" customHeight="true" outlineLevel="0" collapsed="false">
      <c r="B72" s="29" t="s">
        <v>781</v>
      </c>
    </row>
    <row r="73" customFormat="false" ht="13.5" hidden="false" customHeight="true" outlineLevel="0" collapsed="false">
      <c r="B73" s="29" t="s">
        <v>782</v>
      </c>
    </row>
    <row r="74" customFormat="false" ht="13.5" hidden="false" customHeight="true" outlineLevel="0" collapsed="false">
      <c r="B74" s="29" t="s">
        <v>783</v>
      </c>
    </row>
    <row r="75" customFormat="false" ht="13.5" hidden="false" customHeight="true" outlineLevel="0" collapsed="false">
      <c r="B75" s="29" t="s">
        <v>784</v>
      </c>
    </row>
    <row r="76" customFormat="false" ht="13.5" hidden="false" customHeight="true" outlineLevel="0" collapsed="false">
      <c r="B76" s="29" t="s">
        <v>785</v>
      </c>
    </row>
    <row r="77" customFormat="false" ht="13.5" hidden="false" customHeight="true" outlineLevel="0" collapsed="false">
      <c r="B77" s="29" t="s">
        <v>786</v>
      </c>
    </row>
    <row r="78" customFormat="false" ht="27.75" hidden="false" customHeight="true" outlineLevel="0" collapsed="false">
      <c r="B78" s="3" t="s">
        <v>787</v>
      </c>
    </row>
    <row r="79" customFormat="false" ht="27.75" hidden="false" customHeight="true" outlineLevel="0" collapsed="false">
      <c r="B79" s="3" t="s">
        <v>788</v>
      </c>
    </row>
    <row r="80" customFormat="false" ht="19.5" hidden="false" customHeight="true" outlineLevel="0" collapsed="false">
      <c r="B80" s="27"/>
    </row>
    <row r="81" customFormat="false" ht="19.5" hidden="false" customHeight="true" outlineLevel="0" collapsed="false">
      <c r="B81" s="28" t="s">
        <v>789</v>
      </c>
    </row>
    <row r="82" customFormat="false" ht="27.75" hidden="false" customHeight="true" outlineLevel="0" collapsed="false">
      <c r="B82" s="3" t="s">
        <v>790</v>
      </c>
    </row>
    <row r="83" customFormat="false" ht="13.5" hidden="false" customHeight="true" outlineLevel="0" collapsed="false">
      <c r="B83" s="29" t="s">
        <v>791</v>
      </c>
    </row>
    <row r="84" customFormat="false" ht="13.5" hidden="false" customHeight="true" outlineLevel="0" collapsed="false">
      <c r="B84" s="29" t="s">
        <v>792</v>
      </c>
    </row>
    <row r="85" customFormat="false" ht="13.5" hidden="false" customHeight="true" outlineLevel="0" collapsed="false">
      <c r="B85" s="29" t="s">
        <v>793</v>
      </c>
    </row>
    <row r="86" customFormat="false" ht="13.5" hidden="false" customHeight="true" outlineLevel="0" collapsed="false">
      <c r="B86" s="29" t="s">
        <v>794</v>
      </c>
    </row>
    <row r="87" customFormat="false" ht="13.5" hidden="false" customHeight="true" outlineLevel="0" collapsed="false">
      <c r="B87" s="29" t="s">
        <v>795</v>
      </c>
    </row>
    <row r="88" customFormat="false" ht="13.5" hidden="false" customHeight="true" outlineLevel="0" collapsed="false">
      <c r="B88" s="29" t="s">
        <v>796</v>
      </c>
    </row>
    <row r="89" customFormat="false" ht="13.5" hidden="false" customHeight="true" outlineLevel="0" collapsed="false">
      <c r="B89" s="29" t="s">
        <v>797</v>
      </c>
    </row>
    <row r="90" customFormat="false" ht="13.5" hidden="false" customHeight="true" outlineLevel="0" collapsed="false">
      <c r="B90" s="29"/>
    </row>
    <row r="91" customFormat="false" ht="13.5" hidden="false" customHeight="true" outlineLevel="0" collapsed="false">
      <c r="B91" s="29" t="s">
        <v>798</v>
      </c>
    </row>
    <row r="92" customFormat="false" ht="13.5" hidden="false" customHeight="true" outlineLevel="0" collapsed="false">
      <c r="B92" s="29" t="s">
        <v>741</v>
      </c>
    </row>
    <row r="93" customFormat="false" ht="13.5" hidden="false" customHeight="true" outlineLevel="0" collapsed="false">
      <c r="B93" s="29" t="s">
        <v>799</v>
      </c>
    </row>
    <row r="94" customFormat="false" ht="13.5" hidden="false" customHeight="true" outlineLevel="0" collapsed="false">
      <c r="B94" s="29" t="s">
        <v>800</v>
      </c>
    </row>
    <row r="95" customFormat="false" ht="13.5" hidden="false" customHeight="true" outlineLevel="0" collapsed="false">
      <c r="B95" s="29" t="s">
        <v>801</v>
      </c>
    </row>
    <row r="96" customFormat="false" ht="13.5" hidden="false" customHeight="true" outlineLevel="0" collapsed="false">
      <c r="B96" s="29" t="s">
        <v>802</v>
      </c>
    </row>
    <row r="97" customFormat="false" ht="13.5" hidden="false" customHeight="true" outlineLevel="0" collapsed="false">
      <c r="B97" s="29" t="s">
        <v>745</v>
      </c>
    </row>
    <row r="98" customFormat="false" ht="27.75" hidden="false" customHeight="true" outlineLevel="0" collapsed="false">
      <c r="B98" s="3" t="s">
        <v>803</v>
      </c>
    </row>
    <row r="99" customFormat="false" ht="19.5" hidden="false" customHeight="true" outlineLevel="0" collapsed="false">
      <c r="B99" s="27"/>
    </row>
    <row r="100" customFormat="false" ht="19.5" hidden="false" customHeight="true" outlineLevel="0" collapsed="false">
      <c r="B100" s="28" t="s">
        <v>804</v>
      </c>
    </row>
    <row r="101" customFormat="false" ht="27.75" hidden="false" customHeight="true" outlineLevel="0" collapsed="false">
      <c r="B101" s="3" t="s">
        <v>805</v>
      </c>
    </row>
    <row r="102" customFormat="false" ht="27.75" hidden="false" customHeight="true" outlineLevel="0" collapsed="false">
      <c r="B102" s="3" t="s">
        <v>806</v>
      </c>
    </row>
    <row r="103" customFormat="false" ht="27.75" hidden="false" customHeight="true" outlineLevel="0" collapsed="false">
      <c r="B103" s="3" t="s">
        <v>807</v>
      </c>
    </row>
    <row r="104" customFormat="false" ht="19.5" hidden="false" customHeight="true" outlineLevel="0" collapsed="false">
      <c r="B104" s="27"/>
    </row>
    <row r="105" customFormat="false" ht="19.5" hidden="false" customHeight="true" outlineLevel="0" collapsed="false">
      <c r="B105" s="28" t="s">
        <v>808</v>
      </c>
    </row>
    <row r="106" customFormat="false" ht="27.75" hidden="false" customHeight="true" outlineLevel="0" collapsed="false">
      <c r="B106" s="3" t="s">
        <v>809</v>
      </c>
    </row>
    <row r="107" customFormat="false" ht="27.75" hidden="false" customHeight="true" outlineLevel="0" collapsed="false">
      <c r="B107" s="3" t="s">
        <v>810</v>
      </c>
    </row>
    <row r="108" customFormat="false" ht="19.5" hidden="false" customHeight="true" outlineLevel="0" collapsed="false">
      <c r="B108" s="27"/>
    </row>
    <row r="109" customFormat="false" ht="19.5" hidden="false" customHeight="true" outlineLevel="0" collapsed="false">
      <c r="B109" s="28" t="s">
        <v>811</v>
      </c>
    </row>
    <row r="110" customFormat="false" ht="27.75" hidden="false" customHeight="true" outlineLevel="0" collapsed="false">
      <c r="B110" s="3" t="s">
        <v>812</v>
      </c>
    </row>
    <row r="111" customFormat="false" ht="27.75" hidden="false" customHeight="true" outlineLevel="0" collapsed="false">
      <c r="B111" s="3" t="s">
        <v>813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2026-07-14T02:45:15Z</dcterms:created>
  <dc:creator>openpyxl</dc:creator>
  <dc:description/>
  <dc:language>en-US</dc:language>
  <cp:lastModifiedBy/>
  <dcterms:modified xsi:type="dcterms:W3CDTF">2026-07-14T02:45:16Z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